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E:\F\02-Educational\Teaching UMA University\Online Exam\10Q-FinalFile-En\"/>
    </mc:Choice>
  </mc:AlternateContent>
  <xr:revisionPtr revIDLastSave="0" documentId="13_ncr:1_{23FE52C7-2AAC-4E16-99D4-6667900AC6B8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Start" sheetId="6" r:id="rId1"/>
    <sheet name="Q1" sheetId="1" state="hidden" r:id="rId2"/>
    <sheet name="Q2" sheetId="17" state="hidden" r:id="rId3"/>
    <sheet name="Q3" sheetId="28" state="hidden" r:id="rId4"/>
    <sheet name="Q4" sheetId="29" state="hidden" r:id="rId5"/>
    <sheet name="Q5" sheetId="30" state="hidden" r:id="rId6"/>
    <sheet name="Q6" sheetId="31" state="hidden" r:id="rId7"/>
    <sheet name="Q7" sheetId="32" state="hidden" r:id="rId8"/>
    <sheet name="Q8" sheetId="33" state="hidden" r:id="rId9"/>
    <sheet name="Q9" sheetId="35" state="hidden" r:id="rId10"/>
    <sheet name="Q10" sheetId="34" state="hidden" r:id="rId11"/>
    <sheet name="End" sheetId="5" state="hidden" r:id="rId12"/>
    <sheet name="Teacher" sheetId="9" state="hidden" r:id="rId13"/>
    <sheet name="Sc" sheetId="27" state="hidden" r:id="rId14"/>
  </sheets>
  <definedNames>
    <definedName name="AAA">#REF!</definedName>
    <definedName name="AAB" localSheetId="2">'Q2'!$A$1</definedName>
    <definedName name="AAB" localSheetId="4">'Q4'!$A$1</definedName>
    <definedName name="AAB" localSheetId="6">'Q6'!$A$1</definedName>
    <definedName name="AAB" localSheetId="8">'Q8'!$A$1</definedName>
    <definedName name="AAB" localSheetId="9">'Q9'!$A$1</definedName>
    <definedName name="AAB">'Q1'!$A$1</definedName>
    <definedName name="Pass">Teacher!$T$20</definedName>
    <definedName name="_xlnm.Print_Area" localSheetId="11">End!$K$7</definedName>
    <definedName name="_xlnm.Print_Area" localSheetId="1">'Q1'!$A$15</definedName>
    <definedName name="_xlnm.Print_Area" localSheetId="10">'Q10'!$A$15</definedName>
    <definedName name="_xlnm.Print_Area" localSheetId="2">'Q2'!$A$16</definedName>
    <definedName name="_xlnm.Print_Area" localSheetId="3">'Q3'!$A$15</definedName>
    <definedName name="_xlnm.Print_Area" localSheetId="4">'Q4'!$A$16</definedName>
    <definedName name="_xlnm.Print_Area" localSheetId="5">'Q5'!$A$15</definedName>
    <definedName name="_xlnm.Print_Area" localSheetId="6">'Q6'!$A$16</definedName>
    <definedName name="_xlnm.Print_Area" localSheetId="7">'Q7'!$A$15</definedName>
    <definedName name="_xlnm.Print_Area" localSheetId="8">'Q8'!$A$16</definedName>
    <definedName name="_xlnm.Print_Area" localSheetId="9">'Q9'!$A$15</definedName>
    <definedName name="QTitle">Start!$H$3</definedName>
    <definedName name="ramz">Teacher!$T$20</definedName>
    <definedName name="TeacherName">Start!$O$3</definedName>
    <definedName name="Test1">Teacher!$B$2</definedName>
    <definedName name="Time1" localSheetId="2">'Q2'!$A$1</definedName>
    <definedName name="Time1" localSheetId="4">'Q4'!$A$1</definedName>
    <definedName name="Time1" localSheetId="6">'Q6'!$A$1</definedName>
    <definedName name="Time1" localSheetId="8">'Q8'!$A$1</definedName>
    <definedName name="Time1" localSheetId="9">'Q9'!$A$1</definedName>
    <definedName name="Time1">'Q1'!$A$1</definedName>
    <definedName name="Watch1" localSheetId="2">'Q2'!$A$1</definedName>
    <definedName name="Watch1" localSheetId="4">'Q4'!$A$1</definedName>
    <definedName name="Watch1" localSheetId="6">'Q6'!$A$1</definedName>
    <definedName name="Watch1" localSheetId="8">'Q8'!$A$1</definedName>
    <definedName name="Watch1" localSheetId="9">'Q9'!$A$1</definedName>
    <definedName name="Watch1">'Q1'!$A$1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8" i="27" l="1"/>
  <c r="J18" i="27"/>
  <c r="R33" i="9" l="1"/>
  <c r="K2" i="27" l="1"/>
  <c r="P2" i="27" s="1"/>
  <c r="Q10" i="27" l="1"/>
  <c r="Q12" i="27" s="1"/>
  <c r="K12" i="5" l="1"/>
  <c r="Q2" i="9" l="1"/>
  <c r="Q29" i="9" l="1"/>
  <c r="Q26" i="9"/>
  <c r="Q23" i="9"/>
  <c r="Q20" i="9"/>
  <c r="Q17" i="9"/>
  <c r="Q14" i="9"/>
  <c r="Q11" i="9"/>
  <c r="Q8" i="9"/>
  <c r="Q5" i="9"/>
  <c r="H3" i="6"/>
  <c r="N1" i="9" l="1"/>
  <c r="H5" i="6" s="1"/>
</calcChain>
</file>

<file path=xl/sharedStrings.xml><?xml version="1.0" encoding="utf-8"?>
<sst xmlns="http://schemas.openxmlformats.org/spreadsheetml/2006/main" count="152" uniqueCount="74">
  <si>
    <t>Close workbook</t>
  </si>
  <si>
    <t>Open workbook</t>
  </si>
  <si>
    <t xml:space="preserve"> </t>
  </si>
  <si>
    <t>1</t>
  </si>
  <si>
    <t>2</t>
  </si>
  <si>
    <t>2.5</t>
  </si>
  <si>
    <t>1.5</t>
  </si>
  <si>
    <t>In the name of God</t>
  </si>
  <si>
    <t>Required Time</t>
  </si>
  <si>
    <t>No.10 Questions</t>
  </si>
  <si>
    <t>:Teacher Name</t>
  </si>
  <si>
    <t>:Exam Title</t>
  </si>
  <si>
    <t>:Name</t>
  </si>
  <si>
    <t>:ID Number</t>
  </si>
  <si>
    <t>Click to Start</t>
  </si>
  <si>
    <t>Type your Questions Here</t>
  </si>
  <si>
    <t>:Q1</t>
  </si>
  <si>
    <t>:Q2</t>
  </si>
  <si>
    <t>:Q3</t>
  </si>
  <si>
    <t>:Q4</t>
  </si>
  <si>
    <t>:Q5</t>
  </si>
  <si>
    <t>:Q6</t>
  </si>
  <si>
    <t>:Q8</t>
  </si>
  <si>
    <t>:Q7</t>
  </si>
  <si>
    <t>:Q9</t>
  </si>
  <si>
    <t>:Q10</t>
  </si>
  <si>
    <t xml:space="preserve">     Question 3:</t>
  </si>
  <si>
    <t xml:space="preserve">     Question 4:</t>
  </si>
  <si>
    <t xml:space="preserve">     Question 5:</t>
  </si>
  <si>
    <t xml:space="preserve">     Question 6:</t>
  </si>
  <si>
    <t xml:space="preserve">     Question 7:</t>
  </si>
  <si>
    <t xml:space="preserve">     Question 8:</t>
  </si>
  <si>
    <t xml:space="preserve">     Question 9:</t>
  </si>
  <si>
    <t xml:space="preserve">     Question 10:</t>
  </si>
  <si>
    <t>Enter Exam Title</t>
  </si>
  <si>
    <t>Online Exam by Excel</t>
  </si>
  <si>
    <t>:Total Time</t>
  </si>
  <si>
    <t>Time in Decimal</t>
  </si>
  <si>
    <t>Time in Min&amp; Second</t>
  </si>
  <si>
    <t>Scores</t>
  </si>
  <si>
    <t>Teacher Name</t>
  </si>
  <si>
    <t>Seyedahmad Mehrishal</t>
  </si>
  <si>
    <t>Define and remember Password</t>
  </si>
  <si>
    <t>Password Change</t>
  </si>
  <si>
    <t>Sum</t>
  </si>
  <si>
    <t>Q</t>
  </si>
  <si>
    <t>Q Score</t>
  </si>
  <si>
    <t>Answer Score</t>
  </si>
  <si>
    <t>:Score</t>
  </si>
  <si>
    <t>:Score in Percent</t>
  </si>
  <si>
    <t>:Student Name</t>
  </si>
  <si>
    <t>:Student ID Number</t>
  </si>
  <si>
    <t>:Start Time</t>
  </si>
  <si>
    <t>:End Time</t>
  </si>
  <si>
    <t>Exam Time</t>
  </si>
  <si>
    <t>Spent Time</t>
  </si>
  <si>
    <t>:Condition</t>
  </si>
  <si>
    <t>Question 1</t>
  </si>
  <si>
    <t>Ans. Score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</si>
  <si>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</si>
  <si>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</si>
  <si>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</si>
  <si>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</si>
  <si>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</si>
  <si>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</si>
  <si>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</si>
  <si>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</si>
  <si>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</si>
  <si>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** If you want to go next question before than time is over, first click in blank area and then press "Next Question" bottun.</t>
  </si>
  <si>
    <t>Extra Explanation:
      Ignore Run_time Error during the exam. if it occures, press "End" bottun and continue.</t>
  </si>
  <si>
    <t>:Elapsed Time</t>
  </si>
  <si>
    <t xml:space="preserve">     Question 1: Type Question here</t>
  </si>
  <si>
    <t xml:space="preserve">     Question 2: type here</t>
  </si>
  <si>
    <t>Student full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</si>
</sst>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4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sz val="34"/>
      <color rgb="FFFFFF00"/>
      <name val="Agency FB"/>
      <family val="2"/>
    </font>
    <font>
      <sz val="11"/>
      <color theme="2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72"/>
      <color rgb="FFFF000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rgb="FF0070C0"/>
      <name val="Times New Roman"/>
      <family val="1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</font>
    <font>
      <sz val="8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6"/>
      <color theme="1"/>
      <name val="B Nazanin"/>
      <charset val="178"/>
    </font>
    <font>
      <b/>
      <sz val="36"/>
      <color rgb="FFFFFF00"/>
      <name val="Agency FB"/>
      <family val="2"/>
    </font>
    <font>
      <b/>
      <sz val="20"/>
      <color rgb="FF000000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20"/>
      <color rgb="FF000000"/>
      <name val="Times New Roman"/>
      <family val="1"/>
    </font>
    <font>
      <b/>
      <sz val="22"/>
      <color rgb="FF000000"/>
      <name val="Calibri"/>
      <family val="2"/>
    </font>
    <font>
      <b/>
      <sz val="10"/>
      <color theme="1"/>
      <name val="B Nazanin"/>
      <charset val="178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4" fillId="0" borderId="0" applyFont="0" applyFill="0" applyBorder="0" applyAlignment="0" applyProtection="0"/>
  </cellStyleXfs>
  <cellXfs count="191">
    <xf numFmtId="0" fontId="0" fillId="0" borderId="0" xfId="0"/>
    <xf numFmtId="0" fontId="1" fillId="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22" fontId="1" fillId="2" borderId="0" xfId="0" applyNumberFormat="1" applyFont="1" applyFill="1" applyAlignment="1" applyProtection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9" fontId="0" fillId="2" borderId="0" xfId="0" applyNumberFormat="1" applyFill="1"/>
    <xf numFmtId="22" fontId="0" fillId="2" borderId="0" xfId="0" applyNumberFormat="1" applyFill="1"/>
    <xf numFmtId="0" fontId="0" fillId="2" borderId="0" xfId="0" applyFont="1" applyFill="1"/>
    <xf numFmtId="0" fontId="2" fillId="2" borderId="21" xfId="0" applyFont="1" applyFill="1" applyBorder="1" applyAlignment="1">
      <alignment horizontal="left" vertical="center"/>
    </xf>
    <xf numFmtId="22" fontId="0" fillId="2" borderId="0" xfId="0" applyNumberFormat="1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 applyProtection="1">
      <protection locked="0"/>
    </xf>
    <xf numFmtId="0" fontId="15" fillId="2" borderId="0" xfId="0" applyFont="1" applyFill="1" applyProtection="1">
      <protection locked="0"/>
    </xf>
    <xf numFmtId="0" fontId="16" fillId="2" borderId="0" xfId="0" applyFont="1" applyFill="1" applyProtection="1">
      <protection locked="0"/>
    </xf>
    <xf numFmtId="0" fontId="15" fillId="2" borderId="12" xfId="0" applyFont="1" applyFill="1" applyBorder="1" applyProtection="1">
      <protection locked="0"/>
    </xf>
    <xf numFmtId="22" fontId="15" fillId="2" borderId="12" xfId="0" applyNumberFormat="1" applyFont="1" applyFill="1" applyBorder="1" applyProtection="1">
      <protection locked="0"/>
    </xf>
    <xf numFmtId="0" fontId="16" fillId="2" borderId="12" xfId="0" applyFont="1" applyFill="1" applyBorder="1" applyProtection="1">
      <protection locked="0"/>
    </xf>
    <xf numFmtId="22" fontId="16" fillId="2" borderId="12" xfId="0" applyNumberFormat="1" applyFont="1" applyFill="1" applyBorder="1" applyProtection="1"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21" fontId="10" fillId="2" borderId="12" xfId="0" applyNumberFormat="1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 applyProtection="1">
      <alignment horizontal="center" vertical="center"/>
      <protection locked="0"/>
    </xf>
    <xf numFmtId="0" fontId="29" fillId="2" borderId="12" xfId="0" applyFont="1" applyFill="1" applyBorder="1" applyAlignment="1" applyProtection="1">
      <alignment horizontal="center" vertical="center"/>
      <protection locked="0"/>
    </xf>
    <xf numFmtId="0" fontId="0" fillId="2" borderId="12" xfId="0" applyFont="1" applyFill="1" applyBorder="1" applyAlignment="1" applyProtection="1">
      <alignment horizontal="center" vertical="center"/>
      <protection locked="0"/>
    </xf>
    <xf numFmtId="22" fontId="16" fillId="2" borderId="0" xfId="0" applyNumberFormat="1" applyFont="1" applyFill="1" applyProtection="1">
      <protection locked="0"/>
    </xf>
    <xf numFmtId="0" fontId="6" fillId="2" borderId="0" xfId="0" applyFont="1" applyFill="1" applyProtection="1">
      <protection locked="0"/>
    </xf>
    <xf numFmtId="22" fontId="15" fillId="2" borderId="0" xfId="0" applyNumberFormat="1" applyFont="1" applyFill="1" applyProtection="1">
      <protection locked="0"/>
    </xf>
    <xf numFmtId="22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45" fontId="0" fillId="2" borderId="0" xfId="0" applyNumberFormat="1" applyFill="1" applyAlignment="1" applyProtection="1">
      <alignment horizontal="center" vertical="center"/>
      <protection locked="0"/>
    </xf>
    <xf numFmtId="0" fontId="3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20" fontId="35" fillId="2" borderId="9" xfId="0" applyNumberFormat="1" applyFont="1" applyFill="1" applyBorder="1" applyAlignment="1" applyProtection="1">
      <alignment horizontal="left" vertical="center"/>
    </xf>
    <xf numFmtId="20" fontId="35" fillId="2" borderId="10" xfId="0" applyNumberFormat="1" applyFont="1" applyFill="1" applyBorder="1" applyAlignment="1" applyProtection="1">
      <alignment horizontal="left" vertical="center"/>
    </xf>
    <xf numFmtId="0" fontId="33" fillId="2" borderId="10" xfId="0" applyFont="1" applyFill="1" applyBorder="1" applyAlignment="1" applyProtection="1">
      <alignment horizontal="center"/>
      <protection locked="0"/>
    </xf>
    <xf numFmtId="0" fontId="33" fillId="2" borderId="11" xfId="0" applyFont="1" applyFill="1" applyBorder="1" applyAlignment="1" applyProtection="1">
      <alignment horizontal="center"/>
      <protection locked="0"/>
    </xf>
    <xf numFmtId="20" fontId="35" fillId="2" borderId="9" xfId="0" applyNumberFormat="1" applyFont="1" applyFill="1" applyBorder="1" applyAlignment="1" applyProtection="1">
      <alignment horizontal="center" vertical="center"/>
    </xf>
    <xf numFmtId="20" fontId="35" fillId="2" borderId="10" xfId="0" applyNumberFormat="1" applyFont="1" applyFill="1" applyBorder="1" applyAlignment="1" applyProtection="1">
      <alignment horizontal="center" vertical="center"/>
    </xf>
    <xf numFmtId="0" fontId="40" fillId="2" borderId="10" xfId="0" applyFont="1" applyFill="1" applyBorder="1" applyAlignment="1" applyProtection="1">
      <alignment horizontal="center"/>
      <protection locked="0"/>
    </xf>
    <xf numFmtId="0" fontId="40" fillId="2" borderId="11" xfId="0" applyFont="1" applyFill="1" applyBorder="1" applyAlignment="1" applyProtection="1">
      <alignment horizontal="center"/>
      <protection locked="0"/>
    </xf>
    <xf numFmtId="0" fontId="36" fillId="2" borderId="9" xfId="0" applyFont="1" applyFill="1" applyBorder="1" applyAlignment="1" applyProtection="1">
      <alignment horizontal="center"/>
    </xf>
    <xf numFmtId="0" fontId="36" fillId="2" borderId="10" xfId="0" applyFont="1" applyFill="1" applyBorder="1" applyAlignment="1" applyProtection="1">
      <alignment horizontal="center"/>
    </xf>
    <xf numFmtId="164" fontId="1" fillId="2" borderId="10" xfId="0" applyNumberFormat="1" applyFont="1" applyFill="1" applyBorder="1" applyAlignment="1" applyProtection="1">
      <alignment horizontal="center" vertical="center"/>
      <protection locked="0"/>
    </xf>
    <xf numFmtId="0" fontId="36" fillId="2" borderId="10" xfId="0" applyFont="1" applyFill="1" applyBorder="1" applyAlignment="1" applyProtection="1">
      <alignment horizontal="center" vertical="center"/>
    </xf>
    <xf numFmtId="0" fontId="36" fillId="2" borderId="11" xfId="0" applyFont="1" applyFill="1" applyBorder="1" applyAlignment="1" applyProtection="1">
      <alignment horizontal="center" vertical="center"/>
    </xf>
    <xf numFmtId="22" fontId="15" fillId="2" borderId="1" xfId="0" applyNumberFormat="1" applyFont="1" applyFill="1" applyBorder="1" applyAlignment="1" applyProtection="1">
      <alignment horizontal="left" vertical="top" wrapText="1" readingOrder="1"/>
      <protection locked="0"/>
    </xf>
    <xf numFmtId="22" fontId="1" fillId="2" borderId="2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3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4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0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5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6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7" xfId="0" applyNumberFormat="1" applyFont="1" applyFill="1" applyBorder="1" applyAlignment="1" applyProtection="1">
      <alignment horizontal="left" vertical="top" readingOrder="1"/>
      <protection locked="0"/>
    </xf>
    <xf numFmtId="22" fontId="1" fillId="2" borderId="8" xfId="0" applyNumberFormat="1" applyFont="1" applyFill="1" applyBorder="1" applyAlignment="1" applyProtection="1">
      <alignment horizontal="left" vertical="top" readingOrder="1"/>
      <protection locked="0"/>
    </xf>
    <xf numFmtId="49" fontId="33" fillId="6" borderId="9" xfId="0" applyNumberFormat="1" applyFont="1" applyFill="1" applyBorder="1" applyAlignment="1" applyProtection="1">
      <alignment horizontal="center" vertical="center"/>
      <protection locked="0"/>
    </xf>
    <xf numFmtId="49" fontId="33" fillId="6" borderId="10" xfId="0" applyNumberFormat="1" applyFont="1" applyFill="1" applyBorder="1" applyAlignment="1" applyProtection="1">
      <alignment horizontal="center" vertical="center"/>
      <protection locked="0"/>
    </xf>
    <xf numFmtId="49" fontId="33" fillId="6" borderId="11" xfId="0" applyNumberFormat="1" applyFont="1" applyFill="1" applyBorder="1" applyAlignment="1" applyProtection="1">
      <alignment horizontal="center" vertical="center"/>
      <protection locked="0"/>
    </xf>
    <xf numFmtId="1" fontId="33" fillId="6" borderId="9" xfId="0" applyNumberFormat="1" applyFont="1" applyFill="1" applyBorder="1" applyAlignment="1" applyProtection="1">
      <alignment horizontal="center" vertical="center"/>
      <protection locked="0"/>
    </xf>
    <xf numFmtId="1" fontId="33" fillId="6" borderId="10" xfId="0" applyNumberFormat="1" applyFont="1" applyFill="1" applyBorder="1" applyAlignment="1" applyProtection="1">
      <alignment horizontal="center" vertical="center"/>
      <protection locked="0"/>
    </xf>
    <xf numFmtId="1" fontId="33" fillId="6" borderId="11" xfId="0" applyNumberFormat="1" applyFont="1" applyFill="1" applyBorder="1" applyAlignment="1" applyProtection="1">
      <alignment horizontal="center" vertical="center"/>
      <protection locked="0"/>
    </xf>
    <xf numFmtId="49" fontId="3" fillId="5" borderId="1" xfId="0" applyNumberFormat="1" applyFont="1" applyFill="1" applyBorder="1" applyAlignment="1" applyProtection="1">
      <alignment horizontal="left" vertical="center" readingOrder="1"/>
      <protection locked="0"/>
    </xf>
    <xf numFmtId="0" fontId="3" fillId="5" borderId="2" xfId="0" applyFont="1" applyFill="1" applyBorder="1" applyAlignment="1" applyProtection="1">
      <alignment horizontal="left" vertical="center" readingOrder="1"/>
      <protection locked="0"/>
    </xf>
    <xf numFmtId="0" fontId="3" fillId="5" borderId="3" xfId="0" applyFont="1" applyFill="1" applyBorder="1" applyAlignment="1" applyProtection="1">
      <alignment horizontal="left" vertical="center" readingOrder="1"/>
      <protection locked="0"/>
    </xf>
    <xf numFmtId="0" fontId="3" fillId="5" borderId="4" xfId="0" applyFont="1" applyFill="1" applyBorder="1" applyAlignment="1" applyProtection="1">
      <alignment horizontal="left" vertical="center" readingOrder="1"/>
      <protection locked="0"/>
    </xf>
    <xf numFmtId="0" fontId="3" fillId="5" borderId="0" xfId="0" applyFont="1" applyFill="1" applyBorder="1" applyAlignment="1" applyProtection="1">
      <alignment horizontal="left" vertical="center" readingOrder="1"/>
      <protection locked="0"/>
    </xf>
    <xf numFmtId="0" fontId="3" fillId="5" borderId="5" xfId="0" applyFont="1" applyFill="1" applyBorder="1" applyAlignment="1" applyProtection="1">
      <alignment horizontal="left" vertical="center" readingOrder="1"/>
      <protection locked="0"/>
    </xf>
    <xf numFmtId="0" fontId="3" fillId="5" borderId="6" xfId="0" applyFont="1" applyFill="1" applyBorder="1" applyAlignment="1" applyProtection="1">
      <alignment horizontal="left" vertical="center" readingOrder="1"/>
      <protection locked="0"/>
    </xf>
    <xf numFmtId="0" fontId="3" fillId="5" borderId="7" xfId="0" applyFont="1" applyFill="1" applyBorder="1" applyAlignment="1" applyProtection="1">
      <alignment horizontal="left" vertical="center" readingOrder="1"/>
      <protection locked="0"/>
    </xf>
    <xf numFmtId="0" fontId="3" fillId="5" borderId="8" xfId="0" applyFont="1" applyFill="1" applyBorder="1" applyAlignment="1" applyProtection="1">
      <alignment horizontal="left" vertical="center" readingOrder="1"/>
      <protection locked="0"/>
    </xf>
    <xf numFmtId="0" fontId="0" fillId="4" borderId="1" xfId="0" applyFill="1" applyBorder="1" applyAlignment="1" applyProtection="1">
      <alignment horizontal="right" vertical="center" wrapText="1"/>
    </xf>
    <xf numFmtId="0" fontId="0" fillId="4" borderId="2" xfId="0" applyFill="1" applyBorder="1" applyAlignment="1" applyProtection="1">
      <alignment horizontal="right" vertical="center"/>
    </xf>
    <xf numFmtId="0" fontId="0" fillId="4" borderId="3" xfId="0" applyFill="1" applyBorder="1" applyAlignment="1" applyProtection="1">
      <alignment horizontal="right" vertical="center"/>
    </xf>
    <xf numFmtId="0" fontId="0" fillId="4" borderId="4" xfId="0" applyFill="1" applyBorder="1" applyAlignment="1" applyProtection="1">
      <alignment horizontal="right" vertical="center"/>
    </xf>
    <xf numFmtId="0" fontId="0" fillId="4" borderId="0" xfId="0" applyFill="1" applyBorder="1" applyAlignment="1" applyProtection="1">
      <alignment horizontal="right" vertical="center"/>
    </xf>
    <xf numFmtId="0" fontId="0" fillId="4" borderId="5" xfId="0" applyFill="1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/>
    </xf>
    <xf numFmtId="0" fontId="0" fillId="4" borderId="7" xfId="0" applyFill="1" applyBorder="1" applyAlignment="1" applyProtection="1">
      <alignment horizontal="right" vertical="center"/>
    </xf>
    <xf numFmtId="0" fontId="0" fillId="4" borderId="8" xfId="0" applyFill="1" applyBorder="1" applyAlignment="1" applyProtection="1">
      <alignment horizontal="right" vertical="center"/>
    </xf>
    <xf numFmtId="0" fontId="4" fillId="2" borderId="0" xfId="0" applyFont="1" applyFill="1" applyBorder="1" applyAlignment="1" applyProtection="1">
      <alignment horizontal="center" vertical="center"/>
    </xf>
    <xf numFmtId="45" fontId="31" fillId="3" borderId="2" xfId="0" applyNumberFormat="1" applyFont="1" applyFill="1" applyBorder="1" applyAlignment="1" applyProtection="1">
      <alignment horizontal="center" vertical="center"/>
      <protection locked="0"/>
    </xf>
    <xf numFmtId="45" fontId="31" fillId="3" borderId="3" xfId="0" applyNumberFormat="1" applyFont="1" applyFill="1" applyBorder="1" applyAlignment="1" applyProtection="1">
      <alignment horizontal="center" vertical="center"/>
      <protection locked="0"/>
    </xf>
    <xf numFmtId="45" fontId="31" fillId="3" borderId="0" xfId="0" applyNumberFormat="1" applyFont="1" applyFill="1" applyBorder="1" applyAlignment="1" applyProtection="1">
      <alignment horizontal="center" vertical="center"/>
      <protection locked="0"/>
    </xf>
    <xf numFmtId="45" fontId="31" fillId="3" borderId="5" xfId="0" applyNumberFormat="1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0" fontId="0" fillId="2" borderId="15" xfId="0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right" vertical="center"/>
    </xf>
    <xf numFmtId="45" fontId="5" fillId="3" borderId="2" xfId="0" applyNumberFormat="1" applyFont="1" applyFill="1" applyBorder="1" applyAlignment="1" applyProtection="1">
      <alignment horizontal="center" vertical="center"/>
      <protection locked="0"/>
    </xf>
    <xf numFmtId="45" fontId="5" fillId="3" borderId="3" xfId="0" applyNumberFormat="1" applyFont="1" applyFill="1" applyBorder="1" applyAlignment="1" applyProtection="1">
      <alignment horizontal="center" vertical="center"/>
      <protection locked="0"/>
    </xf>
    <xf numFmtId="45" fontId="5" fillId="3" borderId="0" xfId="0" applyNumberFormat="1" applyFont="1" applyFill="1" applyBorder="1" applyAlignment="1" applyProtection="1">
      <alignment horizontal="center" vertical="center"/>
      <protection locked="0"/>
    </xf>
    <xf numFmtId="45" fontId="5" fillId="3" borderId="5" xfId="0" applyNumberFormat="1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49" fontId="3" fillId="5" borderId="1" xfId="0" applyNumberFormat="1" applyFont="1" applyFill="1" applyBorder="1" applyAlignment="1" applyProtection="1">
      <alignment horizontal="left" vertical="center"/>
      <protection locked="0"/>
    </xf>
    <xf numFmtId="0" fontId="3" fillId="5" borderId="2" xfId="0" applyFont="1" applyFill="1" applyBorder="1" applyAlignment="1" applyProtection="1">
      <alignment horizontal="left" vertical="center"/>
      <protection locked="0"/>
    </xf>
    <xf numFmtId="0" fontId="3" fillId="5" borderId="3" xfId="0" applyFont="1" applyFill="1" applyBorder="1" applyAlignment="1" applyProtection="1">
      <alignment horizontal="left" vertical="center"/>
      <protection locked="0"/>
    </xf>
    <xf numFmtId="0" fontId="3" fillId="5" borderId="4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Border="1" applyAlignment="1" applyProtection="1">
      <alignment horizontal="left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0" fontId="3" fillId="5" borderId="6" xfId="0" applyFont="1" applyFill="1" applyBorder="1" applyAlignment="1" applyProtection="1">
      <alignment horizontal="left" vertical="center"/>
      <protection locked="0"/>
    </xf>
    <xf numFmtId="0" fontId="3" fillId="5" borderId="7" xfId="0" applyFont="1" applyFill="1" applyBorder="1" applyAlignment="1" applyProtection="1">
      <alignment horizontal="left" vertical="center"/>
      <protection locked="0"/>
    </xf>
    <xf numFmtId="0" fontId="3" fillId="5" borderId="8" xfId="0" applyFont="1" applyFill="1" applyBorder="1" applyAlignment="1" applyProtection="1">
      <alignment horizontal="left" vertical="center"/>
      <protection locked="0"/>
    </xf>
    <xf numFmtId="0" fontId="20" fillId="2" borderId="0" xfId="0" applyFont="1" applyFill="1" applyAlignment="1">
      <alignment horizontal="center" vertical="center"/>
    </xf>
    <xf numFmtId="21" fontId="0" fillId="2" borderId="0" xfId="0" applyNumberFormat="1" applyFill="1" applyAlignment="1" applyProtection="1">
      <alignment horizontal="center" vertical="center"/>
      <protection locked="0"/>
    </xf>
    <xf numFmtId="0" fontId="1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2" fontId="18" fillId="7" borderId="0" xfId="0" applyNumberFormat="1" applyFont="1" applyFill="1" applyAlignment="1" applyProtection="1">
      <alignment horizontal="center" vertical="center"/>
      <protection locked="0"/>
    </xf>
    <xf numFmtId="22" fontId="19" fillId="7" borderId="0" xfId="0" applyNumberFormat="1" applyFont="1" applyFill="1" applyAlignment="1" applyProtection="1">
      <alignment horizontal="center" vertical="center"/>
      <protection locked="0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49" fontId="0" fillId="6" borderId="14" xfId="0" applyNumberFormat="1" applyFill="1" applyBorder="1" applyAlignment="1" applyProtection="1">
      <alignment horizontal="center" vertical="center"/>
      <protection locked="0"/>
    </xf>
    <xf numFmtId="49" fontId="0" fillId="6" borderId="15" xfId="0" applyNumberFormat="1" applyFill="1" applyBorder="1" applyAlignment="1" applyProtection="1">
      <alignment horizontal="center" vertical="center"/>
      <protection locked="0"/>
    </xf>
    <xf numFmtId="49" fontId="0" fillId="6" borderId="4" xfId="0" applyNumberFormat="1" applyFill="1" applyBorder="1" applyAlignment="1" applyProtection="1">
      <alignment horizontal="left" vertical="center"/>
      <protection locked="0"/>
    </xf>
    <xf numFmtId="49" fontId="0" fillId="6" borderId="0" xfId="0" applyNumberFormat="1" applyFill="1" applyBorder="1" applyAlignment="1" applyProtection="1">
      <alignment horizontal="left" vertical="center"/>
      <protection locked="0"/>
    </xf>
    <xf numFmtId="49" fontId="0" fillId="6" borderId="2" xfId="0" applyNumberFormat="1" applyFill="1" applyBorder="1" applyAlignment="1" applyProtection="1">
      <alignment horizontal="left" vertical="center"/>
      <protection locked="0"/>
    </xf>
    <xf numFmtId="49" fontId="0" fillId="6" borderId="3" xfId="0" applyNumberFormat="1" applyFill="1" applyBorder="1" applyAlignment="1" applyProtection="1">
      <alignment horizontal="left" vertical="center"/>
      <protection locked="0"/>
    </xf>
    <xf numFmtId="49" fontId="0" fillId="6" borderId="5" xfId="0" applyNumberFormat="1" applyFill="1" applyBorder="1" applyAlignment="1" applyProtection="1">
      <alignment horizontal="left" vertical="center"/>
      <protection locked="0"/>
    </xf>
    <xf numFmtId="49" fontId="0" fillId="6" borderId="6" xfId="0" applyNumberFormat="1" applyFill="1" applyBorder="1" applyAlignment="1" applyProtection="1">
      <alignment horizontal="left" vertical="center"/>
      <protection locked="0"/>
    </xf>
    <xf numFmtId="49" fontId="0" fillId="6" borderId="7" xfId="0" applyNumberFormat="1" applyFill="1" applyBorder="1" applyAlignment="1" applyProtection="1">
      <alignment horizontal="left" vertical="center"/>
      <protection locked="0"/>
    </xf>
    <xf numFmtId="49" fontId="0" fillId="6" borderId="8" xfId="0" applyNumberFormat="1" applyFill="1" applyBorder="1" applyAlignment="1" applyProtection="1">
      <alignment horizontal="left" vertical="center"/>
      <protection locked="0"/>
    </xf>
    <xf numFmtId="49" fontId="0" fillId="6" borderId="13" xfId="0" applyNumberFormat="1" applyFill="1" applyBorder="1" applyAlignment="1" applyProtection="1">
      <alignment horizontal="center" vertical="center"/>
      <protection locked="0"/>
    </xf>
    <xf numFmtId="49" fontId="0" fillId="6" borderId="1" xfId="0" applyNumberFormat="1" applyFill="1" applyBorder="1" applyAlignment="1" applyProtection="1">
      <alignment horizontal="left" vertical="center"/>
      <protection locked="0"/>
    </xf>
    <xf numFmtId="0" fontId="9" fillId="2" borderId="0" xfId="0" applyFont="1" applyFill="1" applyBorder="1" applyAlignment="1">
      <alignment horizontal="left" vertical="center"/>
    </xf>
    <xf numFmtId="21" fontId="8" fillId="2" borderId="22" xfId="0" applyNumberFormat="1" applyFont="1" applyFill="1" applyBorder="1" applyAlignment="1">
      <alignment horizontal="center" vertical="center"/>
    </xf>
    <xf numFmtId="21" fontId="8" fillId="2" borderId="23" xfId="0" applyNumberFormat="1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22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45" fontId="3" fillId="0" borderId="1" xfId="0" applyNumberFormat="1" applyFont="1" applyFill="1" applyBorder="1" applyAlignment="1" applyProtection="1">
      <alignment horizontal="center" vertical="center"/>
    </xf>
    <xf numFmtId="45" fontId="3" fillId="0" borderId="4" xfId="0" applyNumberFormat="1" applyFont="1" applyFill="1" applyBorder="1" applyAlignment="1" applyProtection="1">
      <alignment horizontal="center" vertical="center"/>
    </xf>
    <xf numFmtId="0" fontId="0" fillId="6" borderId="13" xfId="0" applyFill="1" applyBorder="1" applyAlignment="1" applyProtection="1">
      <alignment horizontal="center" vertical="center"/>
      <protection locked="0"/>
    </xf>
    <xf numFmtId="0" fontId="0" fillId="6" borderId="14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45" fontId="3" fillId="0" borderId="13" xfId="0" applyNumberFormat="1" applyFont="1" applyFill="1" applyBorder="1" applyAlignment="1" applyProtection="1">
      <alignment horizontal="center" vertical="center"/>
    </xf>
    <xf numFmtId="45" fontId="3" fillId="0" borderId="14" xfId="0" applyNumberFormat="1" applyFont="1" applyFill="1" applyBorder="1" applyAlignment="1" applyProtection="1">
      <alignment horizontal="center" vertical="center"/>
    </xf>
    <xf numFmtId="45" fontId="3" fillId="0" borderId="15" xfId="0" applyNumberFormat="1" applyFont="1" applyFill="1" applyBorder="1" applyAlignment="1" applyProtection="1">
      <alignment horizontal="center" vertical="center"/>
    </xf>
    <xf numFmtId="49" fontId="0" fillId="6" borderId="16" xfId="0" applyNumberFormat="1" applyFill="1" applyBorder="1" applyAlignment="1" applyProtection="1">
      <alignment horizontal="center" vertical="center"/>
      <protection locked="0"/>
    </xf>
    <xf numFmtId="49" fontId="0" fillId="6" borderId="17" xfId="0" applyNumberFormat="1" applyFill="1" applyBorder="1" applyAlignment="1" applyProtection="1">
      <alignment horizontal="center" vertical="center"/>
      <protection locked="0"/>
    </xf>
    <xf numFmtId="49" fontId="0" fillId="6" borderId="18" xfId="0" applyNumberForma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6" borderId="15" xfId="0" applyFill="1" applyBorder="1" applyAlignment="1" applyProtection="1">
      <alignment horizontal="center" vertical="center"/>
      <protection locked="0"/>
    </xf>
    <xf numFmtId="0" fontId="14" fillId="2" borderId="24" xfId="0" applyFont="1" applyFill="1" applyBorder="1" applyAlignment="1" applyProtection="1">
      <alignment horizontal="center" vertical="center"/>
      <protection locked="0"/>
    </xf>
    <xf numFmtId="0" fontId="14" fillId="2" borderId="28" xfId="0" applyFont="1" applyFill="1" applyBorder="1" applyAlignment="1" applyProtection="1">
      <alignment horizontal="center" vertical="center"/>
      <protection locked="0"/>
    </xf>
    <xf numFmtId="0" fontId="14" fillId="2" borderId="25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9" fillId="8" borderId="24" xfId="0" applyFont="1" applyFill="1" applyBorder="1" applyAlignment="1" applyProtection="1">
      <alignment horizontal="center" vertical="center"/>
      <protection locked="0"/>
    </xf>
    <xf numFmtId="0" fontId="39" fillId="8" borderId="26" xfId="0" applyFont="1" applyFill="1" applyBorder="1" applyAlignment="1" applyProtection="1">
      <alignment horizontal="center" vertical="center"/>
      <protection locked="0"/>
    </xf>
    <xf numFmtId="9" fontId="22" fillId="8" borderId="25" xfId="1" applyFont="1" applyFill="1" applyBorder="1" applyAlignment="1" applyProtection="1">
      <alignment horizontal="center" vertical="center"/>
      <protection locked="0"/>
    </xf>
    <xf numFmtId="9" fontId="22" fillId="8" borderId="27" xfId="1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24" fillId="2" borderId="0" xfId="0" applyFont="1" applyFill="1" applyAlignment="1" applyProtection="1">
      <alignment horizontal="right" vertical="center"/>
      <protection locked="0"/>
    </xf>
    <xf numFmtId="0" fontId="30" fillId="8" borderId="24" xfId="0" applyFont="1" applyFill="1" applyBorder="1" applyAlignment="1" applyProtection="1">
      <alignment horizontal="center" vertical="center"/>
      <protection locked="0"/>
    </xf>
    <xf numFmtId="0" fontId="30" fillId="8" borderId="32" xfId="0" applyFont="1" applyFill="1" applyBorder="1" applyAlignment="1" applyProtection="1">
      <alignment horizontal="center" vertical="center"/>
      <protection locked="0"/>
    </xf>
    <xf numFmtId="0" fontId="22" fillId="8" borderId="25" xfId="0" applyFont="1" applyFill="1" applyBorder="1" applyAlignment="1" applyProtection="1">
      <alignment horizontal="center" vertical="center"/>
      <protection locked="0"/>
    </xf>
    <xf numFmtId="0" fontId="22" fillId="8" borderId="33" xfId="0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22" fontId="25" fillId="2" borderId="12" xfId="0" applyNumberFormat="1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164" fontId="20" fillId="2" borderId="12" xfId="0" applyNumberFormat="1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21" fontId="25" fillId="2" borderId="12" xfId="0" applyNumberFormat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 applyProtection="1">
      <alignment horizontal="center" vertical="center"/>
      <protection locked="0"/>
    </xf>
    <xf numFmtId="0" fontId="21" fillId="2" borderId="2" xfId="0" applyFont="1" applyFill="1" applyBorder="1" applyAlignment="1" applyProtection="1">
      <alignment horizontal="center" vertical="center"/>
      <protection locked="0"/>
    </xf>
    <xf numFmtId="0" fontId="21" fillId="2" borderId="3" xfId="0" applyFont="1" applyFill="1" applyBorder="1" applyAlignment="1" applyProtection="1">
      <alignment horizontal="center" vertical="center"/>
      <protection locked="0"/>
    </xf>
    <xf numFmtId="0" fontId="21" fillId="2" borderId="6" xfId="0" applyFont="1" applyFill="1" applyBorder="1" applyAlignment="1" applyProtection="1">
      <alignment horizontal="center" vertical="center"/>
      <protection locked="0"/>
    </xf>
    <xf numFmtId="0" fontId="21" fillId="2" borderId="7" xfId="0" applyFont="1" applyFill="1" applyBorder="1" applyAlignment="1" applyProtection="1">
      <alignment horizontal="center" vertical="center"/>
      <protection locked="0"/>
    </xf>
    <xf numFmtId="0" fontId="21" fillId="2" borderId="8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23" fillId="2" borderId="0" xfId="0" applyFont="1" applyFill="1" applyAlignment="1" applyProtection="1">
      <alignment horizontal="right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358140</xdr:colOff>
          <xdr:row>5</xdr:row>
          <xdr:rowOff>182880</xdr:rowOff>
        </xdr:from>
        <xdr:to>
          <xdr:col>17</xdr:col>
          <xdr:colOff>358140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Teacher Room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18</xdr:row>
          <xdr:rowOff>152400</xdr:rowOff>
        </xdr:from>
        <xdr:to>
          <xdr:col>12</xdr:col>
          <xdr:colOff>220980</xdr:colOff>
          <xdr:row>22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 to Answer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49529</xdr:colOff>
      <xdr:row>9</xdr:row>
      <xdr:rowOff>9526</xdr:rowOff>
    </xdr:from>
    <xdr:to>
      <xdr:col>17</xdr:col>
      <xdr:colOff>440055</xdr:colOff>
      <xdr:row>17</xdr:row>
      <xdr:rowOff>114300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9976723818" y="1782908"/>
          <a:ext cx="1291071" cy="1545647"/>
          <a:chOff x="9975502020" y="849995"/>
          <a:chExt cx="2476500" cy="291004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75502020" y="849995"/>
            <a:ext cx="2476500" cy="2910044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9976340220" y="2720340"/>
            <a:ext cx="373380" cy="1295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</xdr:grpSp>
    <xdr:clientData/>
  </xdr:twoCellAnchor>
  <xdr:twoCellAnchor>
    <xdr:from>
      <xdr:col>3</xdr:col>
      <xdr:colOff>569595</xdr:colOff>
      <xdr:row>0</xdr:row>
      <xdr:rowOff>70485</xdr:rowOff>
    </xdr:from>
    <xdr:to>
      <xdr:col>18</xdr:col>
      <xdr:colOff>81915</xdr:colOff>
      <xdr:row>5</xdr:row>
      <xdr:rowOff>78105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976631685" y="70485"/>
          <a:ext cx="7637145" cy="1036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523875</xdr:colOff>
      <xdr:row>17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5580125" y="0"/>
          <a:ext cx="12677775" cy="329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7620</xdr:rowOff>
        </xdr:from>
        <xdr:to>
          <xdr:col>1</xdr:col>
          <xdr:colOff>342900</xdr:colOff>
          <xdr:row>15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85725</xdr:colOff>
      <xdr:row>4</xdr:row>
      <xdr:rowOff>28575</xdr:rowOff>
    </xdr:from>
    <xdr:to>
      <xdr:col>17</xdr:col>
      <xdr:colOff>514350</xdr:colOff>
      <xdr:row>21</xdr:row>
      <xdr:rowOff>152400</xdr:rowOff>
    </xdr:to>
    <xdr:sp macro="" textlink="" fLocksText="0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76808850" y="762000"/>
          <a:ext cx="9944100" cy="3248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400" baseline="0">
              <a:cs typeface="B Nazanin" panose="00000400000000000000" pitchFamily="2" charset="-78"/>
            </a:rPr>
            <a:t>Click Here and type:</a:t>
          </a:r>
        </a:p>
        <a:p>
          <a:pPr algn="l" rtl="0"/>
          <a:endParaRPr lang="en-US" sz="1400" baseline="0">
            <a:cs typeface="B Nazanin" panose="00000400000000000000" pitchFamily="2" charset="-78"/>
          </a:endParaRPr>
        </a:p>
        <a:p>
          <a:pPr algn="l" rtl="0"/>
          <a:r>
            <a:rPr lang="en-US" sz="1400" baseline="0">
              <a:cs typeface="B Nazanin" panose="00000400000000000000" pitchFamily="2" charset="-78"/>
            </a:rPr>
            <a:t>read the question and type the answer here</a:t>
          </a:r>
        </a:p>
        <a:p>
          <a:pPr algn="l" rtl="0"/>
          <a:endParaRPr lang="en-US" sz="1400" baseline="0">
            <a:cs typeface="B Nazanin" panose="00000400000000000000" pitchFamily="2" charset="-78"/>
          </a:endParaRPr>
        </a:p>
        <a:p>
          <a:pPr algn="l" rtl="0"/>
          <a:r>
            <a:rPr lang="en-US" sz="1400" baseline="0">
              <a:cs typeface="B Nazanin" panose="00000400000000000000" pitchFamily="2" charset="-78"/>
            </a:rPr>
            <a:t>this is a text Box</a:t>
          </a:r>
        </a:p>
        <a:p>
          <a:pPr algn="l" rtl="0"/>
          <a:endParaRPr lang="en-US" sz="1400" baseline="0">
            <a:cs typeface="B Nazanin" panose="00000400000000000000" pitchFamily="2" charset="-78"/>
          </a:endParaRPr>
        </a:p>
        <a:p>
          <a:pPr algn="l" rtl="0"/>
          <a:endParaRPr lang="en-US" sz="1400" baseline="0">
            <a:cs typeface="B Nazanin" panose="00000400000000000000" pitchFamily="2" charset="-78"/>
          </a:endParaRPr>
        </a:p>
        <a:p>
          <a:pPr algn="l" rtl="0"/>
          <a:r>
            <a:rPr lang="en-US" sz="1400" baseline="0">
              <a:cs typeface="B Nazanin" panose="00000400000000000000" pitchFamily="2" charset="-78"/>
            </a:rPr>
            <a:t>          Now teacher could evaluate the answers and put an score for each answe==&gt;</a:t>
          </a:r>
          <a:endParaRPr lang="fa-IR" sz="1400" baseline="0">
            <a:cs typeface="B Nazanin" panose="000004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466725</xdr:colOff>
      <xdr:row>18</xdr:row>
      <xdr:rowOff>180974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975637275" y="0"/>
          <a:ext cx="12620625" cy="3476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144780</xdr:rowOff>
        </xdr:from>
        <xdr:to>
          <xdr:col>1</xdr:col>
          <xdr:colOff>99060</xdr:colOff>
          <xdr:row>16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85725</xdr:colOff>
      <xdr:row>4</xdr:row>
      <xdr:rowOff>28575</xdr:rowOff>
    </xdr:from>
    <xdr:to>
      <xdr:col>17</xdr:col>
      <xdr:colOff>552450</xdr:colOff>
      <xdr:row>21</xdr:row>
      <xdr:rowOff>123825</xdr:rowOff>
    </xdr:to>
    <xdr:sp macro="" textlink="" fLocksText="0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976770750" y="762000"/>
          <a:ext cx="9982200" cy="3209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 Just type the answers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 file is copy paste protected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371475</xdr:colOff>
      <xdr:row>18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9975732525" y="0"/>
          <a:ext cx="12525375" cy="331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45720</xdr:rowOff>
        </xdr:from>
        <xdr:to>
          <xdr:col>1</xdr:col>
          <xdr:colOff>38100</xdr:colOff>
          <xdr:row>15</xdr:row>
          <xdr:rowOff>114300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95250</xdr:colOff>
      <xdr:row>4</xdr:row>
      <xdr:rowOff>47625</xdr:rowOff>
    </xdr:from>
    <xdr:to>
      <xdr:col>17</xdr:col>
      <xdr:colOff>542925</xdr:colOff>
      <xdr:row>21</xdr:row>
      <xdr:rowOff>152400</xdr:rowOff>
    </xdr:to>
    <xdr:sp macro="" textlink="" fLocksText="0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76780275" y="781050"/>
          <a:ext cx="996315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r>
            <a:rPr lang="en-US" sz="1600">
              <a:cs typeface="B Nazanin" panose="00000400000000000000" pitchFamily="2" charset="-78"/>
            </a:rPr>
            <a:t>    Just type answers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495300</xdr:colOff>
      <xdr:row>18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975608700" y="0"/>
          <a:ext cx="12649200" cy="3448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83820</xdr:rowOff>
        </xdr:from>
        <xdr:to>
          <xdr:col>1</xdr:col>
          <xdr:colOff>68580</xdr:colOff>
          <xdr:row>16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57150</xdr:colOff>
      <xdr:row>4</xdr:row>
      <xdr:rowOff>66675</xdr:rowOff>
    </xdr:from>
    <xdr:to>
      <xdr:col>17</xdr:col>
      <xdr:colOff>542925</xdr:colOff>
      <xdr:row>21</xdr:row>
      <xdr:rowOff>95250</xdr:rowOff>
    </xdr:to>
    <xdr:sp macro="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9976780275" y="800100"/>
          <a:ext cx="10001250" cy="3143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 The answers will be saved automatically after each question apear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the question will disappear when time is over</a:t>
          </a:r>
        </a:p>
        <a:p>
          <a:pPr algn="l" rtl="0"/>
          <a:r>
            <a:rPr lang="en-US" sz="1600">
              <a:cs typeface="B Nazanin" panose="00000400000000000000" pitchFamily="2" charset="-78"/>
            </a:rPr>
            <a:t>khbiujbasolvaklnnlflv</a:t>
          </a:r>
        </a:p>
        <a:p>
          <a:pPr algn="l" rtl="0"/>
          <a:r>
            <a:rPr lang="en-US" sz="1600">
              <a:cs typeface="B Nazanin" panose="00000400000000000000" pitchFamily="2" charset="-78"/>
            </a:rPr>
            <a:t>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228600</xdr:colOff>
      <xdr:row>18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975265800" y="0"/>
          <a:ext cx="12992100" cy="331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182880</xdr:rowOff>
        </xdr:from>
        <xdr:to>
          <xdr:col>1</xdr:col>
          <xdr:colOff>38100</xdr:colOff>
          <xdr:row>15</xdr:row>
          <xdr:rowOff>144780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4</xdr:row>
      <xdr:rowOff>47625</xdr:rowOff>
    </xdr:from>
    <xdr:to>
      <xdr:col>17</xdr:col>
      <xdr:colOff>514350</xdr:colOff>
      <xdr:row>21</xdr:row>
      <xdr:rowOff>171450</xdr:rowOff>
    </xdr:to>
    <xdr:sp macro="" textlink="" fLocksText="0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9976808850" y="781050"/>
          <a:ext cx="9953625" cy="3248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just" rtl="0"/>
          <a:endParaRPr lang="en-US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561975</xdr:colOff>
      <xdr:row>18</xdr:row>
      <xdr:rowOff>142874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975542025" y="0"/>
          <a:ext cx="12715875" cy="3438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30480</xdr:rowOff>
        </xdr:from>
        <xdr:to>
          <xdr:col>1</xdr:col>
          <xdr:colOff>45720</xdr:colOff>
          <xdr:row>16</xdr:row>
          <xdr:rowOff>144780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76200</xdr:colOff>
      <xdr:row>4</xdr:row>
      <xdr:rowOff>28575</xdr:rowOff>
    </xdr:from>
    <xdr:to>
      <xdr:col>17</xdr:col>
      <xdr:colOff>533400</xdr:colOff>
      <xdr:row>21</xdr:row>
      <xdr:rowOff>123825</xdr:rowOff>
    </xdr:to>
    <xdr:sp macro="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976789800" y="762000"/>
          <a:ext cx="9972675" cy="3209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Lots Go to End</a:t>
          </a:r>
          <a:endParaRPr lang="fa-IR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466725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975027675" y="0"/>
          <a:ext cx="13230225" cy="3305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15240</xdr:rowOff>
        </xdr:from>
        <xdr:to>
          <xdr:col>1</xdr:col>
          <xdr:colOff>38100</xdr:colOff>
          <xdr:row>15</xdr:row>
          <xdr:rowOff>152400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85725</xdr:colOff>
      <xdr:row>4</xdr:row>
      <xdr:rowOff>76200</xdr:rowOff>
    </xdr:from>
    <xdr:to>
      <xdr:col>17</xdr:col>
      <xdr:colOff>476250</xdr:colOff>
      <xdr:row>21</xdr:row>
      <xdr:rowOff>171450</xdr:rowOff>
    </xdr:to>
    <xdr:sp macro="" textlink="" fLocksText="0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976846950" y="809625"/>
          <a:ext cx="9906000" cy="3219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  <a:p>
          <a:pPr algn="l" rtl="0"/>
          <a:r>
            <a:rPr lang="en-US" sz="1600">
              <a:cs typeface="B Nazanin" panose="00000400000000000000" pitchFamily="2" charset="-78"/>
            </a:rPr>
            <a:t>   When the run-time error occures, just ignore it and press ""End" button and continue==&gt;</a:t>
          </a:r>
          <a:endParaRPr lang="fa-IR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371475</xdr:colOff>
      <xdr:row>18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975732525" y="0"/>
          <a:ext cx="12525375" cy="3457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106680</xdr:rowOff>
        </xdr:from>
        <xdr:to>
          <xdr:col>1</xdr:col>
          <xdr:colOff>83820</xdr:colOff>
          <xdr:row>16</xdr:row>
          <xdr:rowOff>129540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104775</xdr:colOff>
      <xdr:row>4</xdr:row>
      <xdr:rowOff>57150</xdr:rowOff>
    </xdr:from>
    <xdr:to>
      <xdr:col>17</xdr:col>
      <xdr:colOff>485775</xdr:colOff>
      <xdr:row>21</xdr:row>
      <xdr:rowOff>123825</xdr:rowOff>
    </xdr:to>
    <xdr:sp macro="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9976837425" y="790575"/>
          <a:ext cx="9896475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en-US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38100</xdr:colOff>
      <xdr:row>19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975456300" y="0"/>
          <a:ext cx="12801600" cy="3486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45720</xdr:rowOff>
        </xdr:from>
        <xdr:to>
          <xdr:col>1</xdr:col>
          <xdr:colOff>68580</xdr:colOff>
          <xdr:row>16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133351</xdr:colOff>
      <xdr:row>4</xdr:row>
      <xdr:rowOff>85725</xdr:rowOff>
    </xdr:from>
    <xdr:to>
      <xdr:col>17</xdr:col>
      <xdr:colOff>533401</xdr:colOff>
      <xdr:row>21</xdr:row>
      <xdr:rowOff>66675</xdr:rowOff>
    </xdr:to>
    <xdr:sp macro="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76789799" y="819150"/>
          <a:ext cx="9915525" cy="3095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r>
            <a:rPr lang="en-US" sz="1600" baseline="0">
              <a:cs typeface="B Nazanin" panose="00000400000000000000" pitchFamily="2" charset="-78"/>
            </a:rPr>
            <a:t>     </a:t>
          </a:r>
        </a:p>
        <a:p>
          <a:pPr algn="r" rtl="1"/>
          <a:endParaRPr lang="en-US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247650</xdr:colOff>
      <xdr:row>17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975856350" y="0"/>
          <a:ext cx="12401550" cy="3286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400">
            <a:cs typeface="B Nazanin" panose="00000400000000000000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129540</xdr:rowOff>
        </xdr:from>
        <xdr:to>
          <xdr:col>1</xdr:col>
          <xdr:colOff>99060</xdr:colOff>
          <xdr:row>15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Question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66675</xdr:colOff>
      <xdr:row>4</xdr:row>
      <xdr:rowOff>38100</xdr:rowOff>
    </xdr:from>
    <xdr:to>
      <xdr:col>17</xdr:col>
      <xdr:colOff>523875</xdr:colOff>
      <xdr:row>21</xdr:row>
      <xdr:rowOff>123825</xdr:rowOff>
    </xdr:to>
    <xdr:sp macro="" textlink="" fLocksText="0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9976799325" y="771525"/>
          <a:ext cx="9972675" cy="3209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600">
              <a:cs typeface="B Nazanin" panose="00000400000000000000" pitchFamily="2" charset="-78"/>
            </a:rPr>
            <a:t>Answer:</a:t>
          </a:r>
        </a:p>
        <a:p>
          <a:pPr algn="l" rtl="0"/>
          <a:endParaRPr lang="fa-IR" sz="1600">
            <a:cs typeface="B Nazanin" panose="00000400000000000000" pitchFamily="2" charset="-7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29307</xdr:rowOff>
    </xdr:from>
    <xdr:to>
      <xdr:col>23</xdr:col>
      <xdr:colOff>187569</xdr:colOff>
      <xdr:row>41</xdr:row>
      <xdr:rowOff>23447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9973478031" y="29307"/>
          <a:ext cx="14536615" cy="76844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en-US" sz="1100"/>
            <a:t>						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3</xdr:row>
          <xdr:rowOff>7620</xdr:rowOff>
        </xdr:from>
        <xdr:to>
          <xdr:col>11</xdr:col>
          <xdr:colOff>259080</xdr:colOff>
          <xdr:row>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Exit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58029</xdr:colOff>
      <xdr:row>3</xdr:row>
      <xdr:rowOff>33338</xdr:rowOff>
    </xdr:from>
    <xdr:to>
      <xdr:col>8</xdr:col>
      <xdr:colOff>46892</xdr:colOff>
      <xdr:row>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982800808" y="576263"/>
          <a:ext cx="2551088" cy="1119187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3600" b="1">
              <a:solidFill>
                <a:srgbClr val="FF0000"/>
              </a:solidFill>
            </a:rPr>
            <a:t>End of Exam</a:t>
          </a:r>
        </a:p>
      </xdr:txBody>
    </xdr:sp>
    <xdr:clientData/>
  </xdr:twoCellAnchor>
  <xdr:twoCellAnchor>
    <xdr:from>
      <xdr:col>8</xdr:col>
      <xdr:colOff>169985</xdr:colOff>
      <xdr:row>5</xdr:row>
      <xdr:rowOff>5861</xdr:rowOff>
    </xdr:from>
    <xdr:to>
      <xdr:col>8</xdr:col>
      <xdr:colOff>480647</xdr:colOff>
      <xdr:row>7</xdr:row>
      <xdr:rowOff>29307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 rot="10800000">
          <a:off x="9982657199" y="914399"/>
          <a:ext cx="310662" cy="386862"/>
        </a:xfrm>
        <a:prstGeom prst="chevron">
          <a:avLst/>
        </a:prstGeom>
        <a:ln>
          <a:solidFill>
            <a:srgbClr val="C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13</xdr:row>
          <xdr:rowOff>106680</xdr:rowOff>
        </xdr:from>
        <xdr:to>
          <xdr:col>10</xdr:col>
          <xdr:colOff>617220</xdr:colOff>
          <xdr:row>14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Teacher Room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274320</xdr:colOff>
      <xdr:row>20</xdr:row>
      <xdr:rowOff>41910</xdr:rowOff>
    </xdr:from>
    <xdr:to>
      <xdr:col>20</xdr:col>
      <xdr:colOff>514350</xdr:colOff>
      <xdr:row>21</xdr:row>
      <xdr:rowOff>15240</xdr:rowOff>
    </xdr:to>
    <xdr:sp macro="" textlink="">
      <xdr:nvSpPr>
        <xdr:cNvPr id="2" name="Arrow: Chevro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rot="16200000">
          <a:off x="9975235320" y="4191000"/>
          <a:ext cx="156210" cy="240030"/>
        </a:xfrm>
        <a:prstGeom prst="chevr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rgbClr val="C00000"/>
            </a:solidFill>
          </a:endParaRPr>
        </a:p>
      </xdr:txBody>
    </xdr:sp>
    <xdr:clientData/>
  </xdr:twoCellAnchor>
  <xdr:twoCellAnchor>
    <xdr:from>
      <xdr:col>1</xdr:col>
      <xdr:colOff>331470</xdr:colOff>
      <xdr:row>0</xdr:row>
      <xdr:rowOff>457200</xdr:rowOff>
    </xdr:from>
    <xdr:to>
      <xdr:col>1</xdr:col>
      <xdr:colOff>563880</xdr:colOff>
      <xdr:row>0</xdr:row>
      <xdr:rowOff>628650</xdr:rowOff>
    </xdr:to>
    <xdr:sp macro="" textlink="">
      <xdr:nvSpPr>
        <xdr:cNvPr id="3" name="Arrow: Chevro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 rot="5400000">
          <a:off x="9987282540" y="426720"/>
          <a:ext cx="171450" cy="232410"/>
        </a:xfrm>
        <a:prstGeom prst="chevron">
          <a:avLst/>
        </a:prstGeom>
        <a:ln>
          <a:solidFill>
            <a:srgbClr val="C00000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601980</xdr:colOff>
      <xdr:row>0</xdr:row>
      <xdr:rowOff>228600</xdr:rowOff>
    </xdr:from>
    <xdr:to>
      <xdr:col>8</xdr:col>
      <xdr:colOff>163830</xdr:colOff>
      <xdr:row>0</xdr:row>
      <xdr:rowOff>461010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 rot="10625028">
          <a:off x="9983316330" y="228600"/>
          <a:ext cx="171450" cy="232410"/>
        </a:xfrm>
        <a:prstGeom prst="chevron">
          <a:avLst/>
        </a:prstGeom>
        <a:ln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5</xdr:row>
          <xdr:rowOff>167640</xdr:rowOff>
        </xdr:from>
        <xdr:to>
          <xdr:col>21</xdr:col>
          <xdr:colOff>236220</xdr:colOff>
          <xdr:row>9</xdr:row>
          <xdr:rowOff>182880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</xdr:colOff>
          <xdr:row>10</xdr:row>
          <xdr:rowOff>76200</xdr:rowOff>
        </xdr:from>
        <xdr:to>
          <xdr:col>21</xdr:col>
          <xdr:colOff>251460</xdr:colOff>
          <xdr:row>15</xdr:row>
          <xdr:rowOff>114300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C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190500</xdr:colOff>
      <xdr:row>0</xdr:row>
      <xdr:rowOff>533400</xdr:rowOff>
    </xdr:from>
    <xdr:to>
      <xdr:col>15</xdr:col>
      <xdr:colOff>422910</xdr:colOff>
      <xdr:row>1</xdr:row>
      <xdr:rowOff>34290</xdr:rowOff>
    </xdr:to>
    <xdr:sp macro="" textlink="">
      <xdr:nvSpPr>
        <xdr:cNvPr id="8" name="Arrow: Chevro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5400000">
          <a:off x="9978820530" y="502920"/>
          <a:ext cx="171450" cy="232410"/>
        </a:xfrm>
        <a:prstGeom prst="chevron">
          <a:avLst/>
        </a:prstGeom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327660</xdr:colOff>
      <xdr:row>0</xdr:row>
      <xdr:rowOff>495300</xdr:rowOff>
    </xdr:from>
    <xdr:to>
      <xdr:col>20</xdr:col>
      <xdr:colOff>560070</xdr:colOff>
      <xdr:row>0</xdr:row>
      <xdr:rowOff>666750</xdr:rowOff>
    </xdr:to>
    <xdr:sp macro="" textlink="">
      <xdr:nvSpPr>
        <xdr:cNvPr id="9" name="Arrow: Chevro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 rot="16200000">
          <a:off x="9975178170" y="464820"/>
          <a:ext cx="171450" cy="232410"/>
        </a:xfrm>
        <a:prstGeom prst="chevron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76200</xdr:rowOff>
        </xdr:from>
        <xdr:to>
          <xdr:col>6</xdr:col>
          <xdr:colOff>228600</xdr:colOff>
          <xdr:row>0</xdr:row>
          <xdr:rowOff>502920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Teacher 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0</xdr:row>
      <xdr:rowOff>7620</xdr:rowOff>
    </xdr:from>
    <xdr:to>
      <xdr:col>1</xdr:col>
      <xdr:colOff>1104900</xdr:colOff>
      <xdr:row>0</xdr:row>
      <xdr:rowOff>480060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9986215740" y="7620"/>
          <a:ext cx="2179320" cy="472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1400"/>
            <a:t>Open Close History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175260</xdr:rowOff>
        </xdr:from>
        <xdr:to>
          <xdr:col>7</xdr:col>
          <xdr:colOff>335280</xdr:colOff>
          <xdr:row>8</xdr:row>
          <xdr:rowOff>190500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D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Evaluation and Scoring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r" rtl="1">
          <a:defRPr sz="1400">
            <a:cs typeface="B Nazanin" panose="00000400000000000000" pitchFamily="2" charset="-7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D50A-8F49-435F-9DF4-523AAFBE3D72}">
  <sheetPr codeName="Sheet3"/>
  <dimension ref="B1:R23"/>
  <sheetViews>
    <sheetView rightToLeft="1" tabSelected="1" zoomScale="110" zoomScaleNormal="110" workbookViewId="0">
      <selection activeCell="D20" sqref="D20:H20"/>
    </sheetView>
  </sheetViews>
  <sheetFormatPr defaultRowHeight="14.4" x14ac:dyDescent="0.3"/>
  <cols>
    <col min="1" max="1" width="5.109375" style="2" customWidth="1"/>
    <col min="2" max="2" width="11.21875" style="1" customWidth="1"/>
    <col min="3" max="4" width="8.88671875" style="2"/>
    <col min="5" max="5" width="3.5546875" style="2" customWidth="1"/>
    <col min="6" max="6" width="8.44140625" style="2" customWidth="1"/>
    <col min="7" max="7" width="5.88671875" style="2" customWidth="1"/>
    <col min="8" max="11" width="8.88671875" style="2"/>
    <col min="12" max="12" width="2.88671875" style="2" customWidth="1"/>
    <col min="13" max="14" width="8.88671875" style="2"/>
    <col min="15" max="15" width="5.6640625" style="2" customWidth="1"/>
    <col min="16" max="18" width="6.5546875" style="2" customWidth="1"/>
    <col min="19" max="16384" width="8.88671875" style="2"/>
  </cols>
  <sheetData>
    <row r="1" spans="2:18" x14ac:dyDescent="0.3">
      <c r="O1" s="3"/>
    </row>
    <row r="2" spans="2:18" ht="15" thickBot="1" x14ac:dyDescent="0.35">
      <c r="B2" s="3"/>
      <c r="C2" s="2" t="s">
        <v>7</v>
      </c>
    </row>
    <row r="3" spans="2:18" ht="21.6" thickBot="1" x14ac:dyDescent="0.4">
      <c r="B3" s="3"/>
      <c r="F3" s="36" t="s">
        <v>11</v>
      </c>
      <c r="G3" s="37"/>
      <c r="H3" s="38" t="str">
        <f>Teacher!I1</f>
        <v>Online Exam by Excel</v>
      </c>
      <c r="I3" s="38"/>
      <c r="J3" s="38"/>
      <c r="K3" s="39"/>
      <c r="M3" s="40" t="s">
        <v>10</v>
      </c>
      <c r="N3" s="41"/>
      <c r="O3" s="42" t="s">
        <v>41</v>
      </c>
      <c r="P3" s="42"/>
      <c r="Q3" s="42"/>
      <c r="R3" s="43"/>
    </row>
    <row r="4" spans="2:18" ht="15" thickBot="1" x14ac:dyDescent="0.35">
      <c r="B4" s="3"/>
    </row>
    <row r="5" spans="2:18" ht="15" thickBot="1" x14ac:dyDescent="0.35">
      <c r="B5" s="3"/>
      <c r="F5" s="44" t="s">
        <v>8</v>
      </c>
      <c r="G5" s="45"/>
      <c r="H5" s="46">
        <f>Teacher!N1</f>
        <v>1.1805555555555548E-2</v>
      </c>
      <c r="I5" s="46"/>
      <c r="J5" s="47" t="s">
        <v>9</v>
      </c>
      <c r="K5" s="48"/>
    </row>
    <row r="6" spans="2:18" ht="15" thickBot="1" x14ac:dyDescent="0.35">
      <c r="B6" s="3"/>
    </row>
    <row r="7" spans="2:18" x14ac:dyDescent="0.3">
      <c r="B7" s="49" t="s">
        <v>69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1"/>
    </row>
    <row r="8" spans="2:18" x14ac:dyDescent="0.3"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4"/>
    </row>
    <row r="9" spans="2:18" x14ac:dyDescent="0.3"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4"/>
    </row>
    <row r="10" spans="2:18" x14ac:dyDescent="0.3"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4"/>
    </row>
    <row r="11" spans="2:18" x14ac:dyDescent="0.3">
      <c r="B11" s="52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4"/>
    </row>
    <row r="12" spans="2:18" x14ac:dyDescent="0.3">
      <c r="B12" s="52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4"/>
    </row>
    <row r="13" spans="2:18" x14ac:dyDescent="0.3">
      <c r="B13" s="52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4"/>
    </row>
    <row r="14" spans="2:18" x14ac:dyDescent="0.3">
      <c r="B14" s="52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4"/>
    </row>
    <row r="15" spans="2:18" x14ac:dyDescent="0.3"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4"/>
    </row>
    <row r="16" spans="2:18" x14ac:dyDescent="0.3">
      <c r="B16" s="52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4"/>
    </row>
    <row r="17" spans="2:15" x14ac:dyDescent="0.3">
      <c r="B17" s="52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4"/>
    </row>
    <row r="18" spans="2:15" ht="25.2" customHeight="1" thickBot="1" x14ac:dyDescent="0.35">
      <c r="B18" s="55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</row>
    <row r="19" spans="2:15" ht="15" thickBot="1" x14ac:dyDescent="0.35">
      <c r="B19" s="3"/>
    </row>
    <row r="20" spans="2:15" ht="21.6" thickBot="1" x14ac:dyDescent="0.35">
      <c r="B20" s="40" t="s">
        <v>12</v>
      </c>
      <c r="C20" s="41"/>
      <c r="D20" s="58" t="s">
        <v>73</v>
      </c>
      <c r="E20" s="59"/>
      <c r="F20" s="59"/>
      <c r="G20" s="59"/>
      <c r="H20" s="60"/>
    </row>
    <row r="21" spans="2:15" ht="15" thickBot="1" x14ac:dyDescent="0.35">
      <c r="B21" s="3"/>
    </row>
    <row r="22" spans="2:15" ht="21.6" thickBot="1" x14ac:dyDescent="0.35">
      <c r="B22" s="40" t="s">
        <v>13</v>
      </c>
      <c r="C22" s="41"/>
      <c r="D22" s="61">
        <v>15698433142</v>
      </c>
      <c r="E22" s="62"/>
      <c r="F22" s="62"/>
      <c r="G22" s="62"/>
      <c r="H22" s="63"/>
    </row>
    <row r="23" spans="2:15" x14ac:dyDescent="0.3">
      <c r="J23" s="35" t="s">
        <v>14</v>
      </c>
      <c r="K23" s="35"/>
    </row>
  </sheetData>
  <sheetProtection algorithmName="SHA-512" hashValue="4nEjTpIw32geSJ7q1r7EkEsHGJpo22lDnYcfM+rTOFNBn8iGwJs6FwKLDb7t5WSVrrr46IFX2v2RfBvXif0Btg==" saltValue="XKchnTLOb0V6owCmm6ffVg==" spinCount="100000" sheet="1" objects="1" scenarios="1" selectLockedCells="1"/>
  <mergeCells count="13">
    <mergeCell ref="J23:K23"/>
    <mergeCell ref="F3:G3"/>
    <mergeCell ref="H3:K3"/>
    <mergeCell ref="M3:N3"/>
    <mergeCell ref="O3:R3"/>
    <mergeCell ref="F5:G5"/>
    <mergeCell ref="H5:I5"/>
    <mergeCell ref="J5:K5"/>
    <mergeCell ref="B7:O18"/>
    <mergeCell ref="B20:C20"/>
    <mergeCell ref="D20:H20"/>
    <mergeCell ref="B22:C22"/>
    <mergeCell ref="D22:H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acher_PassCheck">
                <anchor moveWithCells="1" sizeWithCells="1">
                  <from>
                    <xdr:col>15</xdr:col>
                    <xdr:colOff>358140</xdr:colOff>
                    <xdr:row>5</xdr:row>
                    <xdr:rowOff>182880</xdr:rowOff>
                  </from>
                  <to>
                    <xdr:col>17</xdr:col>
                    <xdr:colOff>358140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o_Q1">
                <anchor moveWithCells="1" sizeWithCells="1">
                  <from>
                    <xdr:col>8</xdr:col>
                    <xdr:colOff>175260</xdr:colOff>
                    <xdr:row>18</xdr:row>
                    <xdr:rowOff>152400</xdr:rowOff>
                  </from>
                  <to>
                    <xdr:col>12</xdr:col>
                    <xdr:colOff>220980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"/>
  <sheetViews>
    <sheetView rightToLeft="1" view="pageBreakPreview" zoomScale="80" zoomScaleNormal="100" zoomScaleSheetLayoutView="80" workbookViewId="0">
      <selection activeCell="A21" sqref="A21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71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57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83">
        <v>1.041666666666666E-3</v>
      </c>
      <c r="B7" s="84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85"/>
      <c r="B8" s="86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85"/>
      <c r="B9" s="86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ht="15" thickBot="1" x14ac:dyDescent="0.35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x14ac:dyDescent="0.3">
      <c r="A17" s="89">
        <v>0.5</v>
      </c>
      <c r="B17" s="87" t="s">
        <v>46</v>
      </c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ht="15" thickBot="1" x14ac:dyDescent="0.35">
      <c r="A18" s="90"/>
      <c r="B18" s="88"/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91">
        <v>0.5</v>
      </c>
      <c r="B19" s="87" t="s">
        <v>58</v>
      </c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ht="15" thickBot="1" x14ac:dyDescent="0.35">
      <c r="A20" s="92"/>
      <c r="B20" s="88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x14ac:dyDescent="0.3">
      <c r="C21" s="76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25" spans="1:18" ht="15.6" x14ac:dyDescent="0.3">
      <c r="G25" s="34"/>
      <c r="O25" s="12" t="s">
        <v>68</v>
      </c>
    </row>
    <row r="100" spans="1:1" x14ac:dyDescent="0.3">
      <c r="A100" s="29">
        <v>0</v>
      </c>
    </row>
  </sheetData>
  <sheetProtection algorithmName="SHA-512" hashValue="bG9V93UafyQ1g1HtinM+pfZsLluBlNrDYJ8IW4Ty94RWKwPV0bF1W1PvjTz4XrFd13i/RZ6ZWHLvxanCrC70EA==" saltValue="97Me+IkHz31d38CqwCfyJg==" spinCount="100000" sheet="1" objects="1" scenarios="1" selectLockedCells="1" selectUnlockedCells="1"/>
  <mergeCells count="8">
    <mergeCell ref="C1:R4"/>
    <mergeCell ref="C5:R22"/>
    <mergeCell ref="A3:B4"/>
    <mergeCell ref="A7:B9"/>
    <mergeCell ref="B17:B18"/>
    <mergeCell ref="B19:B20"/>
    <mergeCell ref="A17:A18"/>
    <mergeCell ref="A19:A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o_Q2">
                <anchor moveWithCells="1" sizeWithCells="1">
                  <from>
                    <xdr:col>0</xdr:col>
                    <xdr:colOff>0</xdr:colOff>
                    <xdr:row>13</xdr:row>
                    <xdr:rowOff>7620</xdr:rowOff>
                  </from>
                  <to>
                    <xdr:col>1</xdr:col>
                    <xdr:colOff>342900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4A77-08FA-4D5E-A33B-67BD15DA42C2}">
  <sheetPr codeName="Sheet5"/>
  <dimension ref="A1:R100"/>
  <sheetViews>
    <sheetView rightToLeft="1" view="pageBreakPreview" zoomScale="80" zoomScaleNormal="100" zoomScaleSheetLayoutView="80" workbookViewId="0">
      <selection activeCell="A25" sqref="A25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72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59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93" t="s">
        <v>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6.9444444444444404E-4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x14ac:dyDescent="0.3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ht="15" thickBot="1" x14ac:dyDescent="0.35"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x14ac:dyDescent="0.3">
      <c r="A18" s="101">
        <v>1</v>
      </c>
      <c r="B18" s="98" t="s">
        <v>46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102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x14ac:dyDescent="0.3">
      <c r="A20" s="102">
        <v>0.75</v>
      </c>
      <c r="B20" s="99" t="s">
        <v>58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ht="15" thickBot="1" x14ac:dyDescent="0.35">
      <c r="A21" s="103"/>
      <c r="B21" s="10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A22" s="14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13</v>
      </c>
    </row>
  </sheetData>
  <sheetProtection algorithmName="SHA-512" hashValue="yxphw4KM/TwkRRIqD/w+H0IojzUrIJDKzG8ukWYDyLCt1DJquyHAXG1bL+BRIQp3nuosfDSvP5Je1QPD/R0xiQ==" saltValue="FkQgt5WE73bheoUm1BTvTw==" spinCount="100000" sheet="1" objects="1" scenarios="1" selectLockedCells="1" selectUnlockedCells="1"/>
  <mergeCells count="8">
    <mergeCell ref="C1:R4"/>
    <mergeCell ref="A3:B4"/>
    <mergeCell ref="C5:R22"/>
    <mergeCell ref="A7:B9"/>
    <mergeCell ref="B18:B19"/>
    <mergeCell ref="B20:B21"/>
    <mergeCell ref="A18:A19"/>
    <mergeCell ref="A20:A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locked="0" defaultSize="0" print="0" autoFill="0" autoPict="0" macro="[0]!Go_Q3">
                <anchor moveWithCells="1" sizeWithCells="1">
                  <from>
                    <xdr:col>0</xdr:col>
                    <xdr:colOff>0</xdr:colOff>
                    <xdr:row>13</xdr:row>
                    <xdr:rowOff>144780</xdr:rowOff>
                  </from>
                  <to>
                    <xdr:col>1</xdr:col>
                    <xdr:colOff>99060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4D9B-3350-4A02-BEBB-BEAF97402F2C}">
  <sheetPr codeName="Sheet6"/>
  <dimension ref="A1:R100"/>
  <sheetViews>
    <sheetView rightToLeft="1" view="pageBreakPreview" zoomScale="80" zoomScaleNormal="100" zoomScaleSheetLayoutView="80" workbookViewId="0">
      <selection activeCell="A23" sqref="A22:A23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26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60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1.3888888888888881E-3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ht="15" thickBot="1" x14ac:dyDescent="0.35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x14ac:dyDescent="0.3">
      <c r="A17" s="89">
        <v>1.5</v>
      </c>
      <c r="B17" s="87" t="s">
        <v>46</v>
      </c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ht="15" thickBot="1" x14ac:dyDescent="0.35">
      <c r="A18" s="90"/>
      <c r="B18" s="88"/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91">
        <v>0</v>
      </c>
      <c r="B19" s="87" t="s">
        <v>58</v>
      </c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ht="15" thickBot="1" x14ac:dyDescent="0.35">
      <c r="A20" s="92"/>
      <c r="B20" s="88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x14ac:dyDescent="0.3">
      <c r="A21" s="14"/>
      <c r="C21" s="76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</v>
      </c>
    </row>
  </sheetData>
  <sheetProtection algorithmName="SHA-512" hashValue="uTObNhbM3yZKEaFmsQi3FM50Doj9YXN/aY9hOlGiACZd+kxcmV9ykg+sFrBX1Uz+JLTf6owvgvLUUdTlx9FwFg==" saltValue="nMrzAhRH/ejWlDfZC9TZqA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o_Q4">
                <anchor moveWithCells="1" sizeWithCells="1">
                  <from>
                    <xdr:col>0</xdr:col>
                    <xdr:colOff>0</xdr:colOff>
                    <xdr:row>12</xdr:row>
                    <xdr:rowOff>45720</xdr:rowOff>
                  </from>
                  <to>
                    <xdr:col>1</xdr:col>
                    <xdr:colOff>38100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4C7A2-DA0D-4D63-A798-BF882948CD67}">
  <sheetPr codeName="Sheet7"/>
  <dimension ref="A1:R100"/>
  <sheetViews>
    <sheetView rightToLeft="1" view="pageBreakPreview" zoomScale="80" zoomScaleNormal="100" zoomScaleSheetLayoutView="80" workbookViewId="0">
      <selection activeCell="A23" sqref="A23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27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61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93" t="s">
        <v>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1.3888888888888881E-3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x14ac:dyDescent="0.3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ht="15" thickBot="1" x14ac:dyDescent="0.35"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x14ac:dyDescent="0.3">
      <c r="A18" s="101">
        <v>1</v>
      </c>
      <c r="B18" s="98" t="s">
        <v>46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102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x14ac:dyDescent="0.3">
      <c r="A20" s="102">
        <v>1</v>
      </c>
      <c r="B20" s="99" t="s">
        <v>58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ht="15" thickBot="1" x14ac:dyDescent="0.35">
      <c r="A21" s="103"/>
      <c r="B21" s="10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A22" s="14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13</v>
      </c>
    </row>
  </sheetData>
  <sheetProtection algorithmName="SHA-512" hashValue="tQMzj8jVkdI2Yyxcj+slj0+go9POL0qaIhrOozIMwQXARqYLrsekBwpV8Y22G3yHixfHAlgsHlK6BqOp+fnlUw==" saltValue="uFcZSZvPT4i5z4ppqQfOrg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locked="0" defaultSize="0" print="0" autoFill="0" autoPict="0" macro="[0]!Go_Q5">
                <anchor moveWithCells="1" sizeWithCells="1">
                  <from>
                    <xdr:col>0</xdr:col>
                    <xdr:colOff>0</xdr:colOff>
                    <xdr:row>13</xdr:row>
                    <xdr:rowOff>83820</xdr:rowOff>
                  </from>
                  <to>
                    <xdr:col>1</xdr:col>
                    <xdr:colOff>68580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9794-2792-4989-BFF3-65CA1358AD5A}">
  <sheetPr codeName="Sheet8"/>
  <dimension ref="A1:R100"/>
  <sheetViews>
    <sheetView rightToLeft="1" view="pageBreakPreview" zoomScale="80" zoomScaleNormal="100" zoomScaleSheetLayoutView="80" workbookViewId="0">
      <selection activeCell="A22" sqref="A22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28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62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1.7361111111111101E-3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ht="15" thickBot="1" x14ac:dyDescent="0.35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x14ac:dyDescent="0.3">
      <c r="A17" s="89">
        <v>2</v>
      </c>
      <c r="B17" s="87" t="s">
        <v>46</v>
      </c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ht="15" thickBot="1" x14ac:dyDescent="0.35">
      <c r="A18" s="90"/>
      <c r="B18" s="88"/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91">
        <v>0</v>
      </c>
      <c r="B19" s="87" t="s">
        <v>58</v>
      </c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ht="15" thickBot="1" x14ac:dyDescent="0.35">
      <c r="A20" s="92"/>
      <c r="B20" s="88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x14ac:dyDescent="0.3">
      <c r="A21" s="14"/>
      <c r="C21" s="76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</v>
      </c>
    </row>
  </sheetData>
  <sheetProtection algorithmName="SHA-512" hashValue="RjtyU8OfZycov5iUwgUYN3E9jWmeXkmHFIui6ja/rEfKWC4IK1gOmrL+nRK85qi8LoWdFr4B1zyagpHv8wUIew==" saltValue="katMU4TSmaj7nRX1AuTgmw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o_Q6">
                <anchor moveWithCells="1" sizeWithCells="1">
                  <from>
                    <xdr:col>0</xdr:col>
                    <xdr:colOff>0</xdr:colOff>
                    <xdr:row>11</xdr:row>
                    <xdr:rowOff>182880</xdr:rowOff>
                  </from>
                  <to>
                    <xdr:col>1</xdr:col>
                    <xdr:colOff>38100</xdr:colOff>
                    <xdr:row>15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FB98-D409-415A-AF10-2E85982FB0E5}">
  <sheetPr codeName="Sheet9"/>
  <dimension ref="A1:R100"/>
  <sheetViews>
    <sheetView rightToLeft="1" view="pageBreakPreview" zoomScale="80" zoomScaleNormal="100" zoomScaleSheetLayoutView="80" workbookViewId="0">
      <selection activeCell="L26" sqref="L26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29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63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93" t="s">
        <v>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6.9444444444444404E-4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x14ac:dyDescent="0.3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ht="15" thickBot="1" x14ac:dyDescent="0.35"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x14ac:dyDescent="0.3">
      <c r="A18" s="101">
        <v>1</v>
      </c>
      <c r="B18" s="98" t="s">
        <v>46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102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x14ac:dyDescent="0.3">
      <c r="A20" s="102"/>
      <c r="B20" s="99" t="s">
        <v>58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ht="15" thickBot="1" x14ac:dyDescent="0.35">
      <c r="A21" s="103"/>
      <c r="B21" s="10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A22" s="14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13</v>
      </c>
    </row>
  </sheetData>
  <sheetProtection algorithmName="SHA-512" hashValue="ywJGTn4Pqt1T/eRL3xLR9Qx62k4g7cuoLByCWgk4Tz2oCuKgzYwbKJ+Y/D65urGzL9x855lM6Zm5fP53z45PIg==" saltValue="XYGnM5N+DF/H9DQkkD6qhQ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locked="0" defaultSize="0" print="0" autoFill="0" autoPict="0" macro="[0]!Go_Q7">
                <anchor moveWithCells="1" sizeWithCells="1">
                  <from>
                    <xdr:col>0</xdr:col>
                    <xdr:colOff>0</xdr:colOff>
                    <xdr:row>13</xdr:row>
                    <xdr:rowOff>30480</xdr:rowOff>
                  </from>
                  <to>
                    <xdr:col>1</xdr:col>
                    <xdr:colOff>45720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A0B36-C8C5-41D4-8733-476878BDBB37}">
  <sheetPr codeName="Sheet10"/>
  <dimension ref="A1:R100"/>
  <sheetViews>
    <sheetView rightToLeft="1" view="pageBreakPreview" zoomScale="80" zoomScaleNormal="100" zoomScaleSheetLayoutView="80" workbookViewId="0">
      <selection activeCell="D26" sqref="D26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104" t="s">
        <v>30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6"/>
    </row>
    <row r="2" spans="1:18" ht="14.4" customHeight="1" x14ac:dyDescent="0.3">
      <c r="C2" s="107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9"/>
    </row>
    <row r="3" spans="1:18" ht="14.4" customHeight="1" x14ac:dyDescent="0.3">
      <c r="A3" s="82" t="s">
        <v>64</v>
      </c>
      <c r="B3" s="82"/>
      <c r="C3" s="107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9"/>
    </row>
    <row r="4" spans="1:18" ht="15" customHeight="1" thickBot="1" x14ac:dyDescent="0.35">
      <c r="A4" s="82"/>
      <c r="B4" s="82"/>
      <c r="C4" s="110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2"/>
    </row>
    <row r="5" spans="1:18" x14ac:dyDescent="0.3"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1.3888888888888881E-3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ht="15" thickBot="1" x14ac:dyDescent="0.35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x14ac:dyDescent="0.3">
      <c r="A17" s="89">
        <v>1</v>
      </c>
      <c r="B17" s="87" t="s">
        <v>46</v>
      </c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ht="15" thickBot="1" x14ac:dyDescent="0.35">
      <c r="A18" s="90"/>
      <c r="B18" s="88"/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91"/>
      <c r="B19" s="87" t="s">
        <v>58</v>
      </c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ht="15" thickBot="1" x14ac:dyDescent="0.35">
      <c r="A20" s="92"/>
      <c r="B20" s="88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x14ac:dyDescent="0.3">
      <c r="A21" s="14"/>
      <c r="C21" s="76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</v>
      </c>
    </row>
  </sheetData>
  <sheetProtection algorithmName="SHA-512" hashValue="WsEnQankM9vsMuBdLzS5lGYzVV313+QIQKRXt4eqelDka3zfv9CkGoN3Djkl9vSbcEcuEXHqDEPXgOSojx3kAg==" saltValue="gdmu8I7gIbEaHhvkV7sBNQ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_Q8">
                <anchor moveWithCells="1" sizeWithCells="1">
                  <from>
                    <xdr:col>0</xdr:col>
                    <xdr:colOff>0</xdr:colOff>
                    <xdr:row>12</xdr:row>
                    <xdr:rowOff>15240</xdr:rowOff>
                  </from>
                  <to>
                    <xdr:col>1</xdr:col>
                    <xdr:colOff>38100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C6A15-CEA6-471C-A37D-A2618947C68A}">
  <sheetPr codeName="Sheet11"/>
  <dimension ref="A1:R100"/>
  <sheetViews>
    <sheetView rightToLeft="1" view="pageBreakPreview" zoomScale="80" zoomScaleNormal="100" zoomScaleSheetLayoutView="80" workbookViewId="0">
      <selection activeCell="B25" sqref="B25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31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65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93" t="s">
        <v>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1.3888888888888881E-3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x14ac:dyDescent="0.3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ht="15" thickBot="1" x14ac:dyDescent="0.35"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x14ac:dyDescent="0.3">
      <c r="A18" s="101">
        <v>1.5</v>
      </c>
      <c r="B18" s="98" t="s">
        <v>46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102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x14ac:dyDescent="0.3">
      <c r="A20" s="102"/>
      <c r="B20" s="99" t="s">
        <v>58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ht="15" thickBot="1" x14ac:dyDescent="0.35">
      <c r="A21" s="103"/>
      <c r="B21" s="10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A22" s="14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13</v>
      </c>
    </row>
  </sheetData>
  <sheetProtection algorithmName="SHA-512" hashValue="zBGF8ZuHwZYAuGeodr6xyTlWx/tkJ8TcmAX34YudA56JEHz8oEekQkwRoOxwdYeCBoBVTyfIx6txm+efYNOrsQ==" saltValue="52+5Ecij+4GNmPRqiDW+oQ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locked="0" defaultSize="0" print="0" autoFill="0" autoPict="0" macro="[0]!Go_Q9">
                <anchor moveWithCells="1" sizeWithCells="1">
                  <from>
                    <xdr:col>0</xdr:col>
                    <xdr:colOff>0</xdr:colOff>
                    <xdr:row>12</xdr:row>
                    <xdr:rowOff>106680</xdr:rowOff>
                  </from>
                  <to>
                    <xdr:col>1</xdr:col>
                    <xdr:colOff>83820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F2C8-ED6B-49E8-927B-4247F34D0720}">
  <sheetPr codeName="Sheet13"/>
  <dimension ref="A1:R100"/>
  <sheetViews>
    <sheetView rightToLeft="1" view="pageBreakPreview" zoomScale="80" zoomScaleNormal="100" zoomScaleSheetLayoutView="80" workbookViewId="0">
      <selection activeCell="N25" sqref="N25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32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66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93" t="s">
        <v>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1.041666666666666E-3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x14ac:dyDescent="0.3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ht="15" thickBot="1" x14ac:dyDescent="0.35"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x14ac:dyDescent="0.3">
      <c r="A18" s="101">
        <v>1.5</v>
      </c>
      <c r="B18" s="98" t="s">
        <v>46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102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x14ac:dyDescent="0.3">
      <c r="A20" s="102"/>
      <c r="B20" s="99" t="s">
        <v>58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ht="15" thickBot="1" x14ac:dyDescent="0.35">
      <c r="A21" s="103"/>
      <c r="B21" s="10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A22" s="14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13</v>
      </c>
    </row>
  </sheetData>
  <sheetProtection algorithmName="SHA-512" hashValue="7fbmHmo3pfcgj0NraHDCdwHYf9Osfrdr6SWOsoXZEYf8Ip8Da8VD6J/HVnubF+9RovngASJ5wi8C1Yq+ijLEYw==" saltValue="H0wh7QcIgatSHJFmI/bWnQ==" spinCount="100000" sheet="1" objects="1" scenarios="1" selectLockedCells="1" selectUnlockedCells="1"/>
  <mergeCells count="8">
    <mergeCell ref="C1:R4"/>
    <mergeCell ref="A3:B4"/>
    <mergeCell ref="C5:R22"/>
    <mergeCell ref="A7:B9"/>
    <mergeCell ref="A18:A19"/>
    <mergeCell ref="B18:B19"/>
    <mergeCell ref="A20:A21"/>
    <mergeCell ref="B20:B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locked="0" defaultSize="0" print="0" autoFill="0" autoPict="0" macro="[0]!Go_Q10">
                <anchor moveWithCells="1" sizeWithCells="1">
                  <from>
                    <xdr:col>0</xdr:col>
                    <xdr:colOff>0</xdr:colOff>
                    <xdr:row>13</xdr:row>
                    <xdr:rowOff>45720</xdr:rowOff>
                  </from>
                  <to>
                    <xdr:col>1</xdr:col>
                    <xdr:colOff>68580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01E9-7DAB-4421-89AD-D0711F692FF8}">
  <sheetPr codeName="Sheet12"/>
  <dimension ref="A1:R100"/>
  <sheetViews>
    <sheetView rightToLeft="1" view="pageBreakPreview" zoomScale="80" zoomScaleNormal="100" zoomScaleSheetLayoutView="80" workbookViewId="0">
      <selection activeCell="K24" sqref="K24"/>
    </sheetView>
  </sheetViews>
  <sheetFormatPr defaultRowHeight="14.4" x14ac:dyDescent="0.3"/>
  <cols>
    <col min="1" max="1" width="8.88671875" style="12"/>
    <col min="2" max="2" width="11.77734375" style="12" customWidth="1"/>
    <col min="3" max="14" width="8.88671875" style="12"/>
    <col min="15" max="15" width="14.33203125" style="12" customWidth="1"/>
    <col min="16" max="16" width="8.88671875" style="12"/>
    <col min="17" max="22" width="8.88671875" style="12" customWidth="1"/>
    <col min="23" max="16384" width="8.88671875" style="12"/>
  </cols>
  <sheetData>
    <row r="1" spans="1:18" ht="14.4" customHeight="1" x14ac:dyDescent="0.3">
      <c r="C1" s="64" t="s">
        <v>33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18" ht="14.4" customHeight="1" x14ac:dyDescent="0.3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18" ht="14.4" customHeight="1" x14ac:dyDescent="0.3">
      <c r="A3" s="82" t="s">
        <v>67</v>
      </c>
      <c r="B3" s="82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15" customHeight="1" thickBot="1" x14ac:dyDescent="0.35">
      <c r="A4" s="82"/>
      <c r="B4" s="82"/>
      <c r="C4" s="70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x14ac:dyDescent="0.3"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5"/>
    </row>
    <row r="6" spans="1:18" ht="15" thickBot="1" x14ac:dyDescent="0.35"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1:18" ht="14.4" customHeight="1" x14ac:dyDescent="0.3">
      <c r="A7" s="94">
        <v>1.041666666666666E-3</v>
      </c>
      <c r="B7" s="9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</row>
    <row r="8" spans="1:18" ht="15" customHeight="1" x14ac:dyDescent="0.3">
      <c r="A8" s="96"/>
      <c r="B8" s="97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18" x14ac:dyDescent="0.3">
      <c r="A9" s="96"/>
      <c r="B9" s="97"/>
      <c r="C9" s="76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</row>
    <row r="10" spans="1:18" x14ac:dyDescent="0.3"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8"/>
    </row>
    <row r="11" spans="1:18" x14ac:dyDescent="0.3">
      <c r="C11" s="76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8"/>
    </row>
    <row r="12" spans="1:18" x14ac:dyDescent="0.3"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8"/>
    </row>
    <row r="13" spans="1:18" x14ac:dyDescent="0.3"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8"/>
    </row>
    <row r="14" spans="1:18" x14ac:dyDescent="0.3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8"/>
    </row>
    <row r="15" spans="1:18" x14ac:dyDescent="0.3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8"/>
    </row>
    <row r="16" spans="1:18" ht="15" thickBot="1" x14ac:dyDescent="0.35">
      <c r="C16" s="76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8"/>
    </row>
    <row r="17" spans="1:18" x14ac:dyDescent="0.3">
      <c r="A17" s="89">
        <v>2</v>
      </c>
      <c r="B17" s="87" t="s">
        <v>46</v>
      </c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8"/>
    </row>
    <row r="18" spans="1:18" ht="15" thickBot="1" x14ac:dyDescent="0.35">
      <c r="A18" s="90"/>
      <c r="B18" s="88"/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8"/>
    </row>
    <row r="19" spans="1:18" x14ac:dyDescent="0.3">
      <c r="A19" s="91"/>
      <c r="B19" s="87" t="s">
        <v>58</v>
      </c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8"/>
    </row>
    <row r="20" spans="1:18" ht="15" thickBot="1" x14ac:dyDescent="0.35">
      <c r="A20" s="92"/>
      <c r="B20" s="88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8"/>
    </row>
    <row r="21" spans="1:18" x14ac:dyDescent="0.3">
      <c r="A21" s="14"/>
      <c r="C21" s="76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8"/>
    </row>
    <row r="22" spans="1:18" ht="15" thickBot="1" x14ac:dyDescent="0.35"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</row>
    <row r="100" spans="1:1" x14ac:dyDescent="0.3">
      <c r="A100" s="13">
        <v>1</v>
      </c>
    </row>
  </sheetData>
  <sheetProtection algorithmName="SHA-512" hashValue="T3wEptvYpg2smq2fReAegoXXrRw/+wIJ9rGYQtMI4KxLyz9RTB8ZR7Ikot+qyVTwZebQ9sy7G3uOw2qDXkfi7A==" saltValue="8hrhxTeGrzPHXOe/hzgflg==" spinCount="100000" sheet="1" objects="1" scenarios="1" selectLockedCells="1" selectUnlockedCells="1"/>
  <mergeCells count="8">
    <mergeCell ref="C1:R4"/>
    <mergeCell ref="A3:B4"/>
    <mergeCell ref="C5:R22"/>
    <mergeCell ref="A7:B9"/>
    <mergeCell ref="A17:A18"/>
    <mergeCell ref="B17:B18"/>
    <mergeCell ref="A19:A20"/>
    <mergeCell ref="B19:B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o_End">
                <anchor moveWithCells="1" sizeWithCells="1">
                  <from>
                    <xdr:col>0</xdr:col>
                    <xdr:colOff>0</xdr:colOff>
                    <xdr:row>12</xdr:row>
                    <xdr:rowOff>129540</xdr:rowOff>
                  </from>
                  <to>
                    <xdr:col>1</xdr:col>
                    <xdr:colOff>99060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CF50C-73AA-458D-ACBD-B66A6D35B247}">
  <sheetPr codeName="Sheet2"/>
  <dimension ref="A1:O100"/>
  <sheetViews>
    <sheetView rightToLeft="1" view="pageBreakPreview" topLeftCell="C2" zoomScale="180" zoomScaleNormal="100" zoomScaleSheetLayoutView="180" workbookViewId="0">
      <selection activeCell="B3" sqref="B3:I10"/>
    </sheetView>
  </sheetViews>
  <sheetFormatPr defaultRowHeight="14.4" x14ac:dyDescent="0.3"/>
  <cols>
    <col min="1" max="2" width="8.88671875" style="4" hidden="1" customWidth="1"/>
    <col min="3" max="4" width="0.88671875" style="4" customWidth="1"/>
    <col min="5" max="5" width="8.88671875" style="4" customWidth="1"/>
    <col min="6" max="8" width="8.88671875" style="4"/>
    <col min="9" max="9" width="6.88671875" style="4" customWidth="1"/>
    <col min="10" max="10" width="8.88671875" style="4"/>
    <col min="11" max="11" width="13.6640625" style="4" bestFit="1" customWidth="1"/>
    <col min="12" max="12" width="6.6640625" style="4" customWidth="1"/>
    <col min="13" max="16384" width="8.88671875" style="4"/>
  </cols>
  <sheetData>
    <row r="1" spans="2:15" x14ac:dyDescent="0.3">
      <c r="O1" s="7"/>
    </row>
    <row r="3" spans="2:15" ht="14.4" customHeight="1" x14ac:dyDescent="0.3">
      <c r="B3" s="115"/>
      <c r="C3" s="115"/>
      <c r="D3" s="115"/>
      <c r="E3" s="115"/>
      <c r="F3" s="115"/>
      <c r="G3" s="115"/>
      <c r="H3" s="115"/>
      <c r="I3" s="115"/>
    </row>
    <row r="4" spans="2:15" ht="14.4" customHeight="1" x14ac:dyDescent="0.3">
      <c r="B4" s="115"/>
      <c r="C4" s="115"/>
      <c r="D4" s="115"/>
      <c r="E4" s="115"/>
      <c r="F4" s="115"/>
      <c r="G4" s="115"/>
      <c r="H4" s="115"/>
      <c r="I4" s="115"/>
    </row>
    <row r="5" spans="2:15" ht="14.4" customHeight="1" x14ac:dyDescent="0.3">
      <c r="B5" s="115"/>
      <c r="C5" s="115"/>
      <c r="D5" s="115"/>
      <c r="E5" s="115"/>
      <c r="F5" s="115"/>
      <c r="G5" s="115"/>
      <c r="H5" s="115"/>
      <c r="I5" s="115"/>
    </row>
    <row r="6" spans="2:15" ht="14.4" customHeight="1" x14ac:dyDescent="0.3">
      <c r="B6" s="115"/>
      <c r="C6" s="115"/>
      <c r="D6" s="115"/>
      <c r="E6" s="115"/>
      <c r="F6" s="115"/>
      <c r="G6" s="115"/>
      <c r="H6" s="115"/>
      <c r="I6" s="115"/>
    </row>
    <row r="7" spans="2:15" ht="14.4" customHeight="1" x14ac:dyDescent="0.3">
      <c r="B7" s="115"/>
      <c r="C7" s="115"/>
      <c r="D7" s="115"/>
      <c r="E7" s="115"/>
      <c r="F7" s="115"/>
      <c r="G7" s="115"/>
      <c r="H7" s="115"/>
      <c r="I7" s="115"/>
      <c r="K7" s="8"/>
    </row>
    <row r="8" spans="2:15" x14ac:dyDescent="0.3">
      <c r="B8" s="115"/>
      <c r="C8" s="115"/>
      <c r="D8" s="115"/>
      <c r="E8" s="115"/>
      <c r="F8" s="115"/>
      <c r="G8" s="115"/>
      <c r="H8" s="115"/>
      <c r="I8" s="115"/>
    </row>
    <row r="9" spans="2:15" x14ac:dyDescent="0.3">
      <c r="B9" s="115"/>
      <c r="C9" s="115"/>
      <c r="D9" s="115"/>
      <c r="E9" s="115"/>
      <c r="F9" s="115"/>
      <c r="G9" s="115"/>
      <c r="H9" s="115"/>
      <c r="I9" s="115"/>
    </row>
    <row r="10" spans="2:15" x14ac:dyDescent="0.3">
      <c r="B10" s="115"/>
      <c r="C10" s="115"/>
      <c r="D10" s="115"/>
      <c r="E10" s="115"/>
      <c r="F10" s="115"/>
      <c r="G10" s="115"/>
      <c r="H10" s="115"/>
      <c r="I10" s="115"/>
    </row>
    <row r="12" spans="2:15" x14ac:dyDescent="0.3">
      <c r="E12" s="116" t="s">
        <v>52</v>
      </c>
      <c r="F12" s="116"/>
      <c r="G12" s="117">
        <v>43999.885023148148</v>
      </c>
      <c r="H12" s="117"/>
      <c r="I12" s="117"/>
      <c r="J12" s="113" t="s">
        <v>70</v>
      </c>
      <c r="K12" s="114">
        <f>G13-G12</f>
        <v>3.9699074040981941E-3</v>
      </c>
    </row>
    <row r="13" spans="2:15" x14ac:dyDescent="0.3">
      <c r="E13" s="116" t="s">
        <v>53</v>
      </c>
      <c r="F13" s="116"/>
      <c r="G13" s="118">
        <v>43999.888993055552</v>
      </c>
      <c r="H13" s="118"/>
      <c r="I13" s="118"/>
      <c r="J13" s="113"/>
      <c r="K13" s="114"/>
    </row>
    <row r="14" spans="2:15" x14ac:dyDescent="0.3">
      <c r="C14" s="9"/>
    </row>
    <row r="100" spans="1:1" x14ac:dyDescent="0.3">
      <c r="A100" s="14"/>
    </row>
  </sheetData>
  <sheetProtection algorithmName="SHA-512" hashValue="KeJd+gi59Qkc05jTiiiIQYQMv6O4VRvMi9pvIGXaxlBGMBVQtJbuliu+RWCHvJE3DhGpskz7pE8Un6+/rqtp0w==" saltValue="/zr1DdXcBsM0g1hLERVuKw==" spinCount="100000" sheet="1" objects="1" scenarios="1" selectLockedCells="1" selectUnlockedCells="1"/>
  <mergeCells count="7">
    <mergeCell ref="J12:J13"/>
    <mergeCell ref="K12:K13"/>
    <mergeCell ref="B3:I10"/>
    <mergeCell ref="E12:F12"/>
    <mergeCell ref="E13:F13"/>
    <mergeCell ref="G12:I12"/>
    <mergeCell ref="G13:I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_Close" altText="">
                <anchor moveWithCells="1" sizeWithCells="1">
                  <from>
                    <xdr:col>9</xdr:col>
                    <xdr:colOff>45720</xdr:colOff>
                    <xdr:row>3</xdr:row>
                    <xdr:rowOff>7620</xdr:rowOff>
                  </from>
                  <to>
                    <xdr:col>11</xdr:col>
                    <xdr:colOff>259080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eacher_PassCheck">
                <anchor moveWithCells="1" sizeWithCells="1">
                  <from>
                    <xdr:col>9</xdr:col>
                    <xdr:colOff>106680</xdr:colOff>
                    <xdr:row>13</xdr:row>
                    <xdr:rowOff>106680</xdr:rowOff>
                  </from>
                  <to>
                    <xdr:col>10</xdr:col>
                    <xdr:colOff>617220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2499-E022-4E09-ACB1-98C003D114DC}">
  <sheetPr codeName="Sheet4"/>
  <dimension ref="A1:V134"/>
  <sheetViews>
    <sheetView rightToLeft="1" zoomScale="80" zoomScaleNormal="80" workbookViewId="0">
      <selection activeCell="T19" sqref="T19:V19"/>
    </sheetView>
  </sheetViews>
  <sheetFormatPr defaultRowHeight="15.6" x14ac:dyDescent="0.3"/>
  <cols>
    <col min="1" max="1" width="4.44140625" style="4" customWidth="1"/>
    <col min="2" max="2" width="9.88671875" style="5" customWidth="1"/>
    <col min="3" max="16" width="8.88671875" style="4"/>
    <col min="17" max="17" width="16.77734375" style="6" customWidth="1"/>
    <col min="18" max="18" width="10.77734375" style="5" customWidth="1"/>
    <col min="19" max="19" width="3.33203125" style="4" customWidth="1"/>
    <col min="20" max="20" width="8.88671875" style="4"/>
    <col min="21" max="21" width="12" style="4" bestFit="1" customWidth="1"/>
    <col min="22" max="16384" width="8.88671875" style="4"/>
  </cols>
  <sheetData>
    <row r="1" spans="2:22" ht="52.8" customHeight="1" thickBot="1" x14ac:dyDescent="0.35">
      <c r="B1" s="136" t="s">
        <v>15</v>
      </c>
      <c r="C1" s="136"/>
      <c r="D1" s="136"/>
      <c r="E1" s="136"/>
      <c r="F1" s="136"/>
      <c r="G1" s="133" t="s">
        <v>34</v>
      </c>
      <c r="H1" s="133"/>
      <c r="I1" s="137" t="s">
        <v>35</v>
      </c>
      <c r="J1" s="138"/>
      <c r="K1" s="138"/>
      <c r="L1" s="139"/>
      <c r="M1" s="10" t="s">
        <v>36</v>
      </c>
      <c r="N1" s="134">
        <f>SUM(Q2:Q31)</f>
        <v>1.1805555555555548E-2</v>
      </c>
      <c r="O1" s="135"/>
      <c r="P1" s="22" t="s">
        <v>37</v>
      </c>
      <c r="Q1" s="23" t="s">
        <v>38</v>
      </c>
      <c r="R1" s="24" t="s">
        <v>39</v>
      </c>
      <c r="T1" s="157" t="s">
        <v>41</v>
      </c>
      <c r="U1" s="158"/>
      <c r="V1" s="159"/>
    </row>
    <row r="2" spans="2:22" ht="15" thickBot="1" x14ac:dyDescent="0.35">
      <c r="B2" s="119" t="s">
        <v>16</v>
      </c>
      <c r="C2" s="123" t="s">
        <v>71</v>
      </c>
      <c r="D2" s="124"/>
      <c r="E2" s="124"/>
      <c r="F2" s="124"/>
      <c r="G2" s="125"/>
      <c r="H2" s="125"/>
      <c r="I2" s="125"/>
      <c r="J2" s="125"/>
      <c r="K2" s="125"/>
      <c r="L2" s="125"/>
      <c r="M2" s="125"/>
      <c r="N2" s="125"/>
      <c r="O2" s="126"/>
      <c r="P2" s="121" t="s">
        <v>6</v>
      </c>
      <c r="Q2" s="141">
        <f>P2*0.000694444444444444</f>
        <v>1.041666666666666E-3</v>
      </c>
      <c r="R2" s="143">
        <v>0.5</v>
      </c>
      <c r="T2" s="153" t="s">
        <v>40</v>
      </c>
      <c r="U2" s="154"/>
      <c r="V2" s="155"/>
    </row>
    <row r="3" spans="2:22" ht="14.4" x14ac:dyDescent="0.3">
      <c r="B3" s="119"/>
      <c r="C3" s="123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7"/>
      <c r="P3" s="121"/>
      <c r="Q3" s="141"/>
      <c r="R3" s="143"/>
    </row>
    <row r="4" spans="2:22" ht="15" thickBot="1" x14ac:dyDescent="0.35">
      <c r="B4" s="119"/>
      <c r="C4" s="128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P4" s="122"/>
      <c r="Q4" s="141"/>
      <c r="R4" s="143"/>
    </row>
    <row r="5" spans="2:22" ht="14.4" customHeight="1" x14ac:dyDescent="0.3">
      <c r="B5" s="119" t="s">
        <v>17</v>
      </c>
      <c r="C5" s="132" t="s">
        <v>72</v>
      </c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6"/>
      <c r="P5" s="131" t="s">
        <v>3</v>
      </c>
      <c r="Q5" s="140">
        <f>P5*0.000694444444444444</f>
        <v>6.9444444444444404E-4</v>
      </c>
      <c r="R5" s="142">
        <v>1</v>
      </c>
    </row>
    <row r="6" spans="2:22" ht="14.4" customHeight="1" x14ac:dyDescent="0.3">
      <c r="B6" s="119"/>
      <c r="C6" s="123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7"/>
      <c r="P6" s="121"/>
      <c r="Q6" s="141"/>
      <c r="R6" s="143"/>
    </row>
    <row r="7" spans="2:22" ht="15" customHeight="1" thickBot="1" x14ac:dyDescent="0.35">
      <c r="B7" s="119"/>
      <c r="C7" s="128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  <c r="P7" s="122"/>
      <c r="Q7" s="141"/>
      <c r="R7" s="143"/>
    </row>
    <row r="8" spans="2:22" ht="14.4" customHeight="1" x14ac:dyDescent="0.3">
      <c r="B8" s="119" t="s">
        <v>18</v>
      </c>
      <c r="C8" s="132" t="s">
        <v>26</v>
      </c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/>
      <c r="P8" s="131" t="s">
        <v>4</v>
      </c>
      <c r="Q8" s="140">
        <f>P8*0.000694444444444444</f>
        <v>1.3888888888888881E-3</v>
      </c>
      <c r="R8" s="142">
        <v>1.5</v>
      </c>
    </row>
    <row r="9" spans="2:22" ht="14.4" customHeight="1" x14ac:dyDescent="0.3">
      <c r="B9" s="119"/>
      <c r="C9" s="123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7"/>
      <c r="P9" s="121"/>
      <c r="Q9" s="141"/>
      <c r="R9" s="143"/>
    </row>
    <row r="10" spans="2:22" ht="15" customHeight="1" thickBot="1" x14ac:dyDescent="0.35">
      <c r="B10" s="119"/>
      <c r="C10" s="128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0"/>
      <c r="P10" s="122"/>
      <c r="Q10" s="141"/>
      <c r="R10" s="143"/>
    </row>
    <row r="11" spans="2:22" ht="14.4" customHeight="1" x14ac:dyDescent="0.3">
      <c r="B11" s="119" t="s">
        <v>19</v>
      </c>
      <c r="C11" s="132" t="s">
        <v>27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6"/>
      <c r="P11" s="131" t="s">
        <v>4</v>
      </c>
      <c r="Q11" s="140">
        <f>P11*0.000694444444444444</f>
        <v>1.3888888888888881E-3</v>
      </c>
      <c r="R11" s="142">
        <v>1</v>
      </c>
    </row>
    <row r="12" spans="2:22" ht="14.4" customHeight="1" x14ac:dyDescent="0.3">
      <c r="B12" s="119"/>
      <c r="C12" s="123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7"/>
      <c r="P12" s="121"/>
      <c r="Q12" s="141"/>
      <c r="R12" s="143"/>
    </row>
    <row r="13" spans="2:22" ht="15" customHeight="1" thickBot="1" x14ac:dyDescent="0.35">
      <c r="B13" s="119"/>
      <c r="C13" s="128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30"/>
      <c r="P13" s="122"/>
      <c r="Q13" s="141"/>
      <c r="R13" s="143"/>
    </row>
    <row r="14" spans="2:22" ht="14.4" customHeight="1" x14ac:dyDescent="0.3">
      <c r="B14" s="119" t="s">
        <v>20</v>
      </c>
      <c r="C14" s="132" t="s">
        <v>28</v>
      </c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6"/>
      <c r="P14" s="131" t="s">
        <v>5</v>
      </c>
      <c r="Q14" s="140">
        <f>P14*0.000694444444444444</f>
        <v>1.7361111111111101E-3</v>
      </c>
      <c r="R14" s="142">
        <v>2</v>
      </c>
    </row>
    <row r="15" spans="2:22" ht="14.4" customHeight="1" x14ac:dyDescent="0.3">
      <c r="B15" s="119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7"/>
      <c r="P15" s="121"/>
      <c r="Q15" s="141"/>
      <c r="R15" s="143"/>
    </row>
    <row r="16" spans="2:22" ht="15" customHeight="1" thickBot="1" x14ac:dyDescent="0.35">
      <c r="B16" s="119"/>
      <c r="C16" s="128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30"/>
      <c r="P16" s="122"/>
      <c r="Q16" s="141"/>
      <c r="R16" s="143"/>
    </row>
    <row r="17" spans="2:22" ht="14.4" customHeight="1" x14ac:dyDescent="0.3">
      <c r="B17" s="119" t="s">
        <v>21</v>
      </c>
      <c r="C17" s="132" t="s">
        <v>29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6"/>
      <c r="P17" s="131" t="s">
        <v>3</v>
      </c>
      <c r="Q17" s="140">
        <f>P17*0.000694444444444444</f>
        <v>6.9444444444444404E-4</v>
      </c>
      <c r="R17" s="142">
        <v>1</v>
      </c>
    </row>
    <row r="18" spans="2:22" ht="14.4" customHeight="1" thickBot="1" x14ac:dyDescent="0.35">
      <c r="B18" s="119"/>
      <c r="C18" s="123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7"/>
      <c r="P18" s="121"/>
      <c r="Q18" s="141"/>
      <c r="R18" s="143"/>
    </row>
    <row r="19" spans="2:22" ht="15" customHeight="1" thickBot="1" x14ac:dyDescent="0.35">
      <c r="B19" s="119"/>
      <c r="C19" s="128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30"/>
      <c r="P19" s="122"/>
      <c r="Q19" s="141"/>
      <c r="R19" s="143"/>
      <c r="T19" s="150"/>
      <c r="U19" s="151"/>
      <c r="V19" s="152"/>
    </row>
    <row r="20" spans="2:22" ht="14.4" customHeight="1" x14ac:dyDescent="0.3">
      <c r="B20" s="119" t="s">
        <v>23</v>
      </c>
      <c r="C20" s="132" t="s">
        <v>30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6"/>
      <c r="P20" s="131" t="s">
        <v>4</v>
      </c>
      <c r="Q20" s="140">
        <f>P20*0.000694444444444444</f>
        <v>1.3888888888888881E-3</v>
      </c>
      <c r="R20" s="142">
        <v>1</v>
      </c>
      <c r="T20" s="144" t="s">
        <v>42</v>
      </c>
      <c r="U20" s="145"/>
      <c r="V20" s="146"/>
    </row>
    <row r="21" spans="2:22" ht="14.4" customHeight="1" x14ac:dyDescent="0.3">
      <c r="B21" s="119"/>
      <c r="C21" s="123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7"/>
      <c r="P21" s="121"/>
      <c r="Q21" s="141"/>
      <c r="R21" s="143"/>
      <c r="T21" s="160" t="s">
        <v>43</v>
      </c>
      <c r="U21" s="161"/>
      <c r="V21" s="162"/>
    </row>
    <row r="22" spans="2:22" ht="15" customHeight="1" thickBot="1" x14ac:dyDescent="0.35">
      <c r="B22" s="119"/>
      <c r="C22" s="128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30"/>
      <c r="P22" s="122"/>
      <c r="Q22" s="141"/>
      <c r="R22" s="143"/>
      <c r="T22" s="163"/>
      <c r="U22" s="164"/>
      <c r="V22" s="165"/>
    </row>
    <row r="23" spans="2:22" ht="14.4" customHeight="1" x14ac:dyDescent="0.3">
      <c r="B23" s="119" t="s">
        <v>22</v>
      </c>
      <c r="C23" s="132" t="s">
        <v>31</v>
      </c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6"/>
      <c r="P23" s="131" t="s">
        <v>4</v>
      </c>
      <c r="Q23" s="140">
        <f>P23*0.000694444444444444</f>
        <v>1.3888888888888881E-3</v>
      </c>
      <c r="R23" s="142">
        <v>1.5</v>
      </c>
    </row>
    <row r="24" spans="2:22" ht="14.4" customHeight="1" x14ac:dyDescent="0.3">
      <c r="B24" s="119"/>
      <c r="C24" s="123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7"/>
      <c r="P24" s="121"/>
      <c r="Q24" s="141"/>
      <c r="R24" s="143"/>
    </row>
    <row r="25" spans="2:22" ht="15" customHeight="1" thickBot="1" x14ac:dyDescent="0.35">
      <c r="B25" s="119"/>
      <c r="C25" s="128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30"/>
      <c r="P25" s="122"/>
      <c r="Q25" s="141"/>
      <c r="R25" s="143"/>
    </row>
    <row r="26" spans="2:22" ht="14.4" customHeight="1" x14ac:dyDescent="0.3">
      <c r="B26" s="119" t="s">
        <v>24</v>
      </c>
      <c r="C26" s="132" t="s">
        <v>32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6"/>
      <c r="P26" s="131" t="s">
        <v>6</v>
      </c>
      <c r="Q26" s="140">
        <f>P26*0.000694444444444444</f>
        <v>1.041666666666666E-3</v>
      </c>
      <c r="R26" s="142">
        <v>1.5</v>
      </c>
    </row>
    <row r="27" spans="2:22" ht="14.4" customHeight="1" x14ac:dyDescent="0.3">
      <c r="B27" s="119"/>
      <c r="C27" s="123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7"/>
      <c r="P27" s="121"/>
      <c r="Q27" s="141"/>
      <c r="R27" s="143"/>
    </row>
    <row r="28" spans="2:22" ht="15" customHeight="1" thickBot="1" x14ac:dyDescent="0.35">
      <c r="B28" s="119"/>
      <c r="C28" s="128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30"/>
      <c r="P28" s="122"/>
      <c r="Q28" s="141"/>
      <c r="R28" s="143"/>
    </row>
    <row r="29" spans="2:22" ht="14.4" customHeight="1" x14ac:dyDescent="0.3">
      <c r="B29" s="119" t="s">
        <v>25</v>
      </c>
      <c r="C29" s="132" t="s">
        <v>33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6"/>
      <c r="P29" s="131" t="s">
        <v>6</v>
      </c>
      <c r="Q29" s="147">
        <f>P29*0.000694444444444444</f>
        <v>1.041666666666666E-3</v>
      </c>
      <c r="R29" s="142">
        <v>2</v>
      </c>
    </row>
    <row r="30" spans="2:22" ht="14.4" customHeight="1" x14ac:dyDescent="0.3">
      <c r="B30" s="119"/>
      <c r="C30" s="123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7"/>
      <c r="P30" s="121"/>
      <c r="Q30" s="148"/>
      <c r="R30" s="143"/>
    </row>
    <row r="31" spans="2:22" ht="15" customHeight="1" thickBot="1" x14ac:dyDescent="0.35">
      <c r="B31" s="120"/>
      <c r="C31" s="128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30"/>
      <c r="P31" s="122"/>
      <c r="Q31" s="149"/>
      <c r="R31" s="156"/>
    </row>
    <row r="33" spans="18:18" x14ac:dyDescent="0.3">
      <c r="R33" s="5">
        <f>SUM(R2:R31)</f>
        <v>13</v>
      </c>
    </row>
    <row r="34" spans="18:18" x14ac:dyDescent="0.3">
      <c r="R34" s="5" t="s">
        <v>44</v>
      </c>
    </row>
    <row r="100" spans="1:2" x14ac:dyDescent="0.3">
      <c r="A100" s="4">
        <v>1</v>
      </c>
    </row>
    <row r="101" spans="1:2" x14ac:dyDescent="0.3">
      <c r="A101" s="4" t="s">
        <v>0</v>
      </c>
      <c r="B101" s="11">
        <v>43972.737303240741</v>
      </c>
    </row>
    <row r="102" spans="1:2" x14ac:dyDescent="0.3">
      <c r="A102" s="4" t="s">
        <v>1</v>
      </c>
      <c r="B102" s="11">
        <v>43972.737349537034</v>
      </c>
    </row>
    <row r="103" spans="1:2" x14ac:dyDescent="0.3">
      <c r="A103" s="4" t="s">
        <v>0</v>
      </c>
      <c r="B103" s="11">
        <v>43972.749467592592</v>
      </c>
    </row>
    <row r="104" spans="1:2" x14ac:dyDescent="0.3">
      <c r="A104" s="4" t="s">
        <v>1</v>
      </c>
      <c r="B104" s="11">
        <v>43972.749699074076</v>
      </c>
    </row>
    <row r="105" spans="1:2" x14ac:dyDescent="0.3">
      <c r="A105" s="4" t="s">
        <v>0</v>
      </c>
      <c r="B105" s="11">
        <v>43972.75503472222</v>
      </c>
    </row>
    <row r="106" spans="1:2" x14ac:dyDescent="0.3">
      <c r="A106" s="4" t="s">
        <v>1</v>
      </c>
      <c r="B106" s="11">
        <v>43972.755104166667</v>
      </c>
    </row>
    <row r="107" spans="1:2" x14ac:dyDescent="0.3">
      <c r="A107" s="4" t="s">
        <v>0</v>
      </c>
      <c r="B107" s="11">
        <v>43972.756018518521</v>
      </c>
    </row>
    <row r="108" spans="1:2" x14ac:dyDescent="0.3">
      <c r="A108" s="4" t="s">
        <v>1</v>
      </c>
      <c r="B108" s="11">
        <v>43972.756111111114</v>
      </c>
    </row>
    <row r="109" spans="1:2" x14ac:dyDescent="0.3">
      <c r="A109" s="4" t="s">
        <v>0</v>
      </c>
      <c r="B109" s="11">
        <v>43972.768900462965</v>
      </c>
    </row>
    <row r="110" spans="1:2" x14ac:dyDescent="0.3">
      <c r="A110" s="4" t="s">
        <v>1</v>
      </c>
      <c r="B110" s="11">
        <v>43972.768969907411</v>
      </c>
    </row>
    <row r="111" spans="1:2" x14ac:dyDescent="0.3">
      <c r="A111" s="4" t="s">
        <v>0</v>
      </c>
      <c r="B111" s="11">
        <v>43972.769537037035</v>
      </c>
    </row>
    <row r="112" spans="1:2" x14ac:dyDescent="0.3">
      <c r="A112" s="4" t="s">
        <v>1</v>
      </c>
      <c r="B112" s="11">
        <v>43972.769629629627</v>
      </c>
    </row>
    <row r="113" spans="1:2" x14ac:dyDescent="0.3">
      <c r="A113" s="4" t="s">
        <v>0</v>
      </c>
      <c r="B113" s="11">
        <v>43972.76971064815</v>
      </c>
    </row>
    <row r="114" spans="1:2" x14ac:dyDescent="0.3">
      <c r="A114" s="4" t="s">
        <v>1</v>
      </c>
      <c r="B114" s="11">
        <v>43972.769768518519</v>
      </c>
    </row>
    <row r="115" spans="1:2" x14ac:dyDescent="0.3">
      <c r="A115" s="4" t="s">
        <v>1</v>
      </c>
      <c r="B115" s="11">
        <v>43972.770254629628</v>
      </c>
    </row>
    <row r="116" spans="1:2" x14ac:dyDescent="0.3">
      <c r="A116" s="4" t="s">
        <v>1</v>
      </c>
      <c r="B116" s="11">
        <v>43972.770671296297</v>
      </c>
    </row>
    <row r="117" spans="1:2" x14ac:dyDescent="0.3">
      <c r="A117" s="4" t="s">
        <v>0</v>
      </c>
      <c r="B117" s="11">
        <v>43972.771539351852</v>
      </c>
    </row>
    <row r="118" spans="1:2" x14ac:dyDescent="0.3">
      <c r="A118" s="4" t="s">
        <v>1</v>
      </c>
      <c r="B118" s="11">
        <v>43972.771597222221</v>
      </c>
    </row>
    <row r="119" spans="1:2" x14ac:dyDescent="0.3">
      <c r="A119" s="4" t="s">
        <v>0</v>
      </c>
      <c r="B119" s="11">
        <v>43972.773298611108</v>
      </c>
    </row>
    <row r="120" spans="1:2" x14ac:dyDescent="0.3">
      <c r="A120" s="4" t="s">
        <v>1</v>
      </c>
      <c r="B120" s="11">
        <v>43972.773460648146</v>
      </c>
    </row>
    <row r="121" spans="1:2" x14ac:dyDescent="0.3">
      <c r="A121" s="4" t="s">
        <v>0</v>
      </c>
      <c r="B121" s="11">
        <v>43972.774826388886</v>
      </c>
    </row>
    <row r="122" spans="1:2" x14ac:dyDescent="0.3">
      <c r="A122" s="4" t="s">
        <v>1</v>
      </c>
      <c r="B122" s="11">
        <v>43972.774918981479</v>
      </c>
    </row>
    <row r="123" spans="1:2" x14ac:dyDescent="0.3">
      <c r="A123" s="4" t="s">
        <v>0</v>
      </c>
      <c r="B123" s="11">
        <v>43972.77684027778</v>
      </c>
    </row>
    <row r="124" spans="1:2" x14ac:dyDescent="0.3">
      <c r="A124" s="4" t="s">
        <v>1</v>
      </c>
      <c r="B124" s="11">
        <v>43972.776909722219</v>
      </c>
    </row>
    <row r="125" spans="1:2" x14ac:dyDescent="0.3">
      <c r="A125" s="4" t="s">
        <v>0</v>
      </c>
      <c r="B125" s="11">
        <v>43972.778113425928</v>
      </c>
    </row>
    <row r="126" spans="1:2" x14ac:dyDescent="0.3">
      <c r="A126" s="4" t="s">
        <v>1</v>
      </c>
      <c r="B126" s="11">
        <v>43972.778171296297</v>
      </c>
    </row>
    <row r="127" spans="1:2" x14ac:dyDescent="0.3">
      <c r="A127" s="4" t="s">
        <v>0</v>
      </c>
      <c r="B127" s="11">
        <v>43972.779363425929</v>
      </c>
    </row>
    <row r="128" spans="1:2" x14ac:dyDescent="0.3">
      <c r="A128" s="4" t="s">
        <v>1</v>
      </c>
      <c r="B128" s="11">
        <v>43972.779421296298</v>
      </c>
    </row>
    <row r="129" spans="1:2" x14ac:dyDescent="0.3">
      <c r="A129" s="4" t="s">
        <v>0</v>
      </c>
      <c r="B129" s="11">
        <v>43972.782094907408</v>
      </c>
    </row>
    <row r="130" spans="1:2" x14ac:dyDescent="0.3">
      <c r="A130" s="4" t="s">
        <v>1</v>
      </c>
      <c r="B130" s="11">
        <v>43972.782152777778</v>
      </c>
    </row>
    <row r="131" spans="1:2" x14ac:dyDescent="0.3">
      <c r="A131" s="4" t="s">
        <v>0</v>
      </c>
      <c r="B131" s="11">
        <v>43972.782939814817</v>
      </c>
    </row>
    <row r="132" spans="1:2" x14ac:dyDescent="0.3">
      <c r="A132" s="4" t="s">
        <v>1</v>
      </c>
      <c r="B132" s="11">
        <v>43972.782986111109</v>
      </c>
    </row>
    <row r="133" spans="1:2" x14ac:dyDescent="0.3">
      <c r="A133" s="4" t="s">
        <v>0</v>
      </c>
      <c r="B133" s="11">
        <v>43972.784143518518</v>
      </c>
    </row>
    <row r="134" spans="1:2" x14ac:dyDescent="0.3">
      <c r="A134" s="4" t="s">
        <v>1</v>
      </c>
      <c r="B134" s="11">
        <v>43972.784247685187</v>
      </c>
    </row>
  </sheetData>
  <sheetProtection algorithmName="SHA-512" hashValue="u6QkHRgqDLwFXAk/IzPkpCqQOKWK0mt/aO3rS839W43c7yxhpE5dOOiLxjqXjM+gwRH1IAzAja9jp8W5skCtjg==" saltValue="Y9Ro5QgafXMP1YmNbkLVig==" spinCount="100000" sheet="1" objects="1" scenarios="1" selectLockedCells="1"/>
  <mergeCells count="59">
    <mergeCell ref="T1:V1"/>
    <mergeCell ref="P14:P16"/>
    <mergeCell ref="P17:P19"/>
    <mergeCell ref="P20:P22"/>
    <mergeCell ref="T21:V22"/>
    <mergeCell ref="Q2:Q4"/>
    <mergeCell ref="R2:R4"/>
    <mergeCell ref="Q5:Q7"/>
    <mergeCell ref="R5:R7"/>
    <mergeCell ref="Q8:Q10"/>
    <mergeCell ref="R8:R10"/>
    <mergeCell ref="Q11:Q13"/>
    <mergeCell ref="R11:R13"/>
    <mergeCell ref="R14:R16"/>
    <mergeCell ref="Q17:Q19"/>
    <mergeCell ref="Q14:Q16"/>
    <mergeCell ref="T19:V19"/>
    <mergeCell ref="R17:R19"/>
    <mergeCell ref="T2:V2"/>
    <mergeCell ref="R29:R31"/>
    <mergeCell ref="R20:R22"/>
    <mergeCell ref="R23:R25"/>
    <mergeCell ref="Q26:Q28"/>
    <mergeCell ref="R26:R28"/>
    <mergeCell ref="Q20:Q22"/>
    <mergeCell ref="T20:V20"/>
    <mergeCell ref="Q29:Q31"/>
    <mergeCell ref="Q23:Q25"/>
    <mergeCell ref="G1:H1"/>
    <mergeCell ref="N1:O1"/>
    <mergeCell ref="B1:F1"/>
    <mergeCell ref="I1:L1"/>
    <mergeCell ref="B23:B25"/>
    <mergeCell ref="B11:B13"/>
    <mergeCell ref="B14:B16"/>
    <mergeCell ref="B17:B19"/>
    <mergeCell ref="B20:B22"/>
    <mergeCell ref="C11:O13"/>
    <mergeCell ref="C14:O16"/>
    <mergeCell ref="C5:O7"/>
    <mergeCell ref="C8:O10"/>
    <mergeCell ref="C17:O19"/>
    <mergeCell ref="C20:O22"/>
    <mergeCell ref="C23:O25"/>
    <mergeCell ref="B26:B28"/>
    <mergeCell ref="B29:B31"/>
    <mergeCell ref="P2:P4"/>
    <mergeCell ref="B2:B4"/>
    <mergeCell ref="C2:O4"/>
    <mergeCell ref="P5:P7"/>
    <mergeCell ref="P8:P10"/>
    <mergeCell ref="B5:B7"/>
    <mergeCell ref="B8:B10"/>
    <mergeCell ref="P26:P28"/>
    <mergeCell ref="P29:P31"/>
    <mergeCell ref="P11:P13"/>
    <mergeCell ref="C26:O28"/>
    <mergeCell ref="C29:O31"/>
    <mergeCell ref="P23:P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Go_Start">
                <anchor moveWithCells="1" sizeWithCells="1">
                  <from>
                    <xdr:col>19</xdr:col>
                    <xdr:colOff>22860</xdr:colOff>
                    <xdr:row>5</xdr:row>
                    <xdr:rowOff>167640</xdr:rowOff>
                  </from>
                  <to>
                    <xdr:col>21</xdr:col>
                    <xdr:colOff>236220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Go_Scoring">
                <anchor moveWithCells="1" sizeWithCells="1">
                  <from>
                    <xdr:col>19</xdr:col>
                    <xdr:colOff>30480</xdr:colOff>
                    <xdr:row>10</xdr:row>
                    <xdr:rowOff>76200</xdr:rowOff>
                  </from>
                  <to>
                    <xdr:col>21</xdr:col>
                    <xdr:colOff>251460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84FF-3587-4E99-8684-7577550BE64F}">
  <sheetPr codeName="Sheet15"/>
  <dimension ref="A1:R34"/>
  <sheetViews>
    <sheetView rightToLeft="1" zoomScale="75" zoomScaleNormal="75" workbookViewId="0">
      <selection activeCell="B17" sqref="A2:B17"/>
    </sheetView>
  </sheetViews>
  <sheetFormatPr defaultRowHeight="14.4" x14ac:dyDescent="0.3"/>
  <cols>
    <col min="1" max="2" width="17" style="14" customWidth="1"/>
    <col min="3" max="4" width="2.109375" style="14" customWidth="1"/>
    <col min="5" max="6" width="7.33203125" style="14" customWidth="1"/>
    <col min="7" max="8" width="11.77734375" style="14" customWidth="1"/>
    <col min="9" max="9" width="5" style="14" customWidth="1"/>
    <col min="10" max="10" width="10.33203125" style="14" customWidth="1"/>
    <col min="11" max="11" width="13.88671875" style="14" customWidth="1"/>
    <col min="12" max="12" width="2.5546875" style="14" customWidth="1"/>
    <col min="13" max="13" width="10.88671875" style="14" customWidth="1"/>
    <col min="14" max="14" width="12.33203125" style="14" customWidth="1"/>
    <col min="15" max="15" width="8.88671875" style="14"/>
    <col min="16" max="16" width="20" style="14" customWidth="1"/>
    <col min="17" max="17" width="14.6640625" style="14" customWidth="1"/>
    <col min="18" max="18" width="8.6640625" style="14" customWidth="1"/>
    <col min="19" max="20" width="11.44140625" style="14" customWidth="1"/>
    <col min="21" max="16384" width="8.88671875" style="14"/>
  </cols>
  <sheetData>
    <row r="1" spans="1:18" ht="48" customHeight="1" thickBot="1" x14ac:dyDescent="0.35">
      <c r="P1" s="32"/>
      <c r="Q1" s="33"/>
    </row>
    <row r="2" spans="1:18" x14ac:dyDescent="0.3">
      <c r="A2" s="17" t="s">
        <v>0</v>
      </c>
      <c r="B2" s="18">
        <v>44000.007615740738</v>
      </c>
      <c r="E2" s="176" t="s">
        <v>52</v>
      </c>
      <c r="F2" s="176"/>
      <c r="G2" s="177">
        <v>43999.885023148148</v>
      </c>
      <c r="H2" s="177"/>
      <c r="J2" s="178" t="s">
        <v>54</v>
      </c>
      <c r="K2" s="179">
        <f>G3-G2</f>
        <v>3.9699074040981941E-3</v>
      </c>
      <c r="M2" s="180" t="s">
        <v>55</v>
      </c>
      <c r="N2" s="181">
        <v>1.1805555555555548E-2</v>
      </c>
      <c r="O2" s="188" t="s">
        <v>56</v>
      </c>
      <c r="P2" s="182" t="str">
        <f>IF(N2&lt;K2,"Warning: Spent time is More than Exam Time","Accepted Time")</f>
        <v>Accepted Time</v>
      </c>
      <c r="Q2" s="183"/>
      <c r="R2" s="184"/>
    </row>
    <row r="3" spans="1:18" ht="14.4" customHeight="1" thickBot="1" x14ac:dyDescent="0.35">
      <c r="A3" s="19"/>
      <c r="B3" s="20"/>
      <c r="E3" s="176" t="s">
        <v>53</v>
      </c>
      <c r="F3" s="176"/>
      <c r="G3" s="177">
        <v>43999.888993055552</v>
      </c>
      <c r="H3" s="177"/>
      <c r="J3" s="178"/>
      <c r="K3" s="179"/>
      <c r="M3" s="180"/>
      <c r="N3" s="181"/>
      <c r="O3" s="189"/>
      <c r="P3" s="185"/>
      <c r="Q3" s="186"/>
      <c r="R3" s="187"/>
    </row>
    <row r="4" spans="1:18" ht="14.4" customHeight="1" x14ac:dyDescent="0.3">
      <c r="A4" s="17"/>
      <c r="B4" s="18"/>
    </row>
    <row r="5" spans="1:18" x14ac:dyDescent="0.3">
      <c r="A5" s="19"/>
      <c r="B5" s="20"/>
      <c r="O5" s="170" t="s">
        <v>50</v>
      </c>
      <c r="P5" s="170"/>
      <c r="Q5" s="190" t="s">
        <v>73</v>
      </c>
      <c r="R5" s="190"/>
    </row>
    <row r="6" spans="1:18" x14ac:dyDescent="0.3">
      <c r="A6" s="17"/>
      <c r="B6" s="18"/>
    </row>
    <row r="7" spans="1:18" ht="15.6" x14ac:dyDescent="0.3">
      <c r="A7" s="19"/>
      <c r="B7" s="20"/>
      <c r="I7" s="21" t="s">
        <v>45</v>
      </c>
      <c r="J7" s="21" t="s">
        <v>46</v>
      </c>
      <c r="K7" s="21" t="s">
        <v>47</v>
      </c>
      <c r="O7" s="170" t="s">
        <v>51</v>
      </c>
      <c r="P7" s="170"/>
      <c r="Q7" s="171">
        <v>15698433142</v>
      </c>
      <c r="R7" s="171"/>
    </row>
    <row r="8" spans="1:18" x14ac:dyDescent="0.3">
      <c r="A8" s="17"/>
      <c r="B8" s="18"/>
      <c r="I8" s="25">
        <v>1</v>
      </c>
      <c r="J8" s="27">
        <v>0.5</v>
      </c>
      <c r="K8" s="26">
        <v>0.5</v>
      </c>
    </row>
    <row r="9" spans="1:18" ht="15" thickBot="1" x14ac:dyDescent="0.35">
      <c r="A9" s="19"/>
      <c r="B9" s="20"/>
      <c r="I9" s="25">
        <v>2</v>
      </c>
      <c r="J9" s="27">
        <v>1</v>
      </c>
      <c r="K9" s="26">
        <v>0.75</v>
      </c>
    </row>
    <row r="10" spans="1:18" x14ac:dyDescent="0.3">
      <c r="A10" s="17"/>
      <c r="B10" s="18"/>
      <c r="I10" s="25">
        <v>3</v>
      </c>
      <c r="J10" s="27">
        <v>1.5</v>
      </c>
      <c r="K10" s="26">
        <v>0</v>
      </c>
      <c r="P10" s="172" t="s">
        <v>48</v>
      </c>
      <c r="Q10" s="174">
        <f>SUM(K8:K17)</f>
        <v>2.25</v>
      </c>
    </row>
    <row r="11" spans="1:18" ht="15" thickBot="1" x14ac:dyDescent="0.35">
      <c r="A11" s="19"/>
      <c r="B11" s="20"/>
      <c r="I11" s="25">
        <v>4</v>
      </c>
      <c r="J11" s="27">
        <v>1</v>
      </c>
      <c r="K11" s="26">
        <v>1</v>
      </c>
      <c r="P11" s="173"/>
      <c r="Q11" s="175"/>
    </row>
    <row r="12" spans="1:18" ht="18.600000000000001" customHeight="1" x14ac:dyDescent="0.3">
      <c r="A12" s="17"/>
      <c r="B12" s="18"/>
      <c r="I12" s="25">
        <v>5</v>
      </c>
      <c r="J12" s="27">
        <v>2</v>
      </c>
      <c r="K12" s="26">
        <v>0</v>
      </c>
      <c r="P12" s="166" t="s">
        <v>49</v>
      </c>
      <c r="Q12" s="168">
        <f>Q10/J18</f>
        <v>0.17307692307692307</v>
      </c>
    </row>
    <row r="13" spans="1:18" ht="15" thickBot="1" x14ac:dyDescent="0.35">
      <c r="A13" s="19"/>
      <c r="B13" s="20"/>
      <c r="I13" s="25">
        <v>6</v>
      </c>
      <c r="J13" s="27">
        <v>1</v>
      </c>
      <c r="K13" s="26"/>
      <c r="P13" s="167"/>
      <c r="Q13" s="169"/>
    </row>
    <row r="14" spans="1:18" x14ac:dyDescent="0.3">
      <c r="A14" s="17"/>
      <c r="B14" s="18"/>
      <c r="I14" s="25">
        <v>7</v>
      </c>
      <c r="J14" s="27">
        <v>1</v>
      </c>
      <c r="K14" s="26"/>
    </row>
    <row r="15" spans="1:18" x14ac:dyDescent="0.3">
      <c r="A15" s="19"/>
      <c r="B15" s="20"/>
      <c r="I15" s="25">
        <v>8</v>
      </c>
      <c r="J15" s="27">
        <v>1.5</v>
      </c>
      <c r="K15" s="26"/>
    </row>
    <row r="16" spans="1:18" x14ac:dyDescent="0.3">
      <c r="A16" s="17"/>
      <c r="B16" s="18"/>
      <c r="I16" s="25">
        <v>9</v>
      </c>
      <c r="J16" s="27">
        <v>1.5</v>
      </c>
      <c r="K16" s="26"/>
    </row>
    <row r="17" spans="1:11" x14ac:dyDescent="0.3">
      <c r="A17" s="19"/>
      <c r="B17" s="20"/>
      <c r="I17" s="25">
        <v>10</v>
      </c>
      <c r="J17" s="27">
        <v>2</v>
      </c>
      <c r="K17" s="26"/>
    </row>
    <row r="18" spans="1:11" x14ac:dyDescent="0.3">
      <c r="A18" s="17"/>
      <c r="B18" s="18"/>
      <c r="J18" s="32">
        <f>SUM(J8:J17)</f>
        <v>13</v>
      </c>
      <c r="K18" s="32">
        <f>SUM(K8:K17)</f>
        <v>2.25</v>
      </c>
    </row>
    <row r="19" spans="1:11" x14ac:dyDescent="0.3">
      <c r="A19" s="19"/>
      <c r="B19" s="20"/>
      <c r="J19" s="14" t="s">
        <v>44</v>
      </c>
      <c r="K19" s="14" t="s">
        <v>44</v>
      </c>
    </row>
    <row r="20" spans="1:11" x14ac:dyDescent="0.3">
      <c r="A20" s="17"/>
      <c r="B20" s="18"/>
    </row>
    <row r="21" spans="1:11" x14ac:dyDescent="0.3">
      <c r="A21" s="19"/>
      <c r="B21" s="20"/>
    </row>
    <row r="22" spans="1:11" x14ac:dyDescent="0.3">
      <c r="A22" s="17"/>
      <c r="B22" s="18"/>
    </row>
    <row r="23" spans="1:11" x14ac:dyDescent="0.3">
      <c r="A23" s="19"/>
      <c r="B23" s="20"/>
    </row>
    <row r="24" spans="1:11" x14ac:dyDescent="0.3">
      <c r="A24" s="17"/>
      <c r="B24" s="18"/>
    </row>
    <row r="25" spans="1:11" x14ac:dyDescent="0.3">
      <c r="A25" s="19"/>
      <c r="B25" s="20"/>
    </row>
    <row r="26" spans="1:11" x14ac:dyDescent="0.3">
      <c r="A26" s="17"/>
      <c r="B26" s="18"/>
    </row>
    <row r="27" spans="1:11" x14ac:dyDescent="0.3">
      <c r="A27" s="16"/>
      <c r="B27" s="28"/>
    </row>
    <row r="28" spans="1:11" x14ac:dyDescent="0.3">
      <c r="A28" s="15"/>
      <c r="B28" s="30"/>
    </row>
    <row r="29" spans="1:11" x14ac:dyDescent="0.3">
      <c r="B29" s="31"/>
    </row>
    <row r="30" spans="1:11" x14ac:dyDescent="0.3">
      <c r="B30" s="31"/>
    </row>
    <row r="31" spans="1:11" x14ac:dyDescent="0.3">
      <c r="B31" s="31"/>
    </row>
    <row r="32" spans="1:11" x14ac:dyDescent="0.3">
      <c r="B32" s="31"/>
    </row>
    <row r="33" spans="2:2" x14ac:dyDescent="0.3">
      <c r="B33" s="31"/>
    </row>
    <row r="34" spans="2:2" x14ac:dyDescent="0.3">
      <c r="B34" s="31"/>
    </row>
  </sheetData>
  <sheetProtection selectLockedCells="1"/>
  <mergeCells count="18">
    <mergeCell ref="N2:N3"/>
    <mergeCell ref="P2:R3"/>
    <mergeCell ref="O2:O3"/>
    <mergeCell ref="O5:P5"/>
    <mergeCell ref="Q5:R5"/>
    <mergeCell ref="E3:F3"/>
    <mergeCell ref="G3:H3"/>
    <mergeCell ref="J2:J3"/>
    <mergeCell ref="K2:K3"/>
    <mergeCell ref="M2:M3"/>
    <mergeCell ref="E2:F2"/>
    <mergeCell ref="G2:H2"/>
    <mergeCell ref="P12:P13"/>
    <mergeCell ref="Q12:Q13"/>
    <mergeCell ref="O7:P7"/>
    <mergeCell ref="Q7:R7"/>
    <mergeCell ref="P10:P11"/>
    <mergeCell ref="Q10:Q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Teacher_PassCheck">
                <anchor moveWithCells="1" sizeWithCells="1">
                  <from>
                    <xdr:col>3</xdr:col>
                    <xdr:colOff>22860</xdr:colOff>
                    <xdr:row>0</xdr:row>
                    <xdr:rowOff>76200</xdr:rowOff>
                  </from>
                  <to>
                    <xdr:col>6</xdr:col>
                    <xdr:colOff>228600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83820</xdr:colOff>
                    <xdr:row>5</xdr:row>
                    <xdr:rowOff>175260</xdr:rowOff>
                  </from>
                  <to>
                    <xdr:col>7</xdr:col>
                    <xdr:colOff>335280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Start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End</vt:lpstr>
      <vt:lpstr>Teacher</vt:lpstr>
      <vt:lpstr>Sc</vt:lpstr>
      <vt:lpstr>'Q2'!AAB</vt:lpstr>
      <vt:lpstr>'Q4'!AAB</vt:lpstr>
      <vt:lpstr>'Q6'!AAB</vt:lpstr>
      <vt:lpstr>'Q8'!AAB</vt:lpstr>
      <vt:lpstr>'Q9'!AAB</vt:lpstr>
      <vt:lpstr>AAB</vt:lpstr>
      <vt:lpstr>Pass</vt:lpstr>
      <vt:lpstr>End!Print_Area</vt:lpstr>
      <vt:lpstr>'Q1'!Print_Area</vt:lpstr>
      <vt:lpstr>'Q10'!Print_Area</vt:lpstr>
      <vt:lpstr>'Q2'!Print_Area</vt:lpstr>
      <vt:lpstr>'Q3'!Print_Area</vt:lpstr>
      <vt:lpstr>'Q4'!Print_Area</vt:lpstr>
      <vt:lpstr>'Q5'!Print_Area</vt:lpstr>
      <vt:lpstr>'Q6'!Print_Area</vt:lpstr>
      <vt:lpstr>'Q7'!Print_Area</vt:lpstr>
      <vt:lpstr>'Q8'!Print_Area</vt:lpstr>
      <vt:lpstr>'Q9'!Print_Area</vt:lpstr>
      <vt:lpstr>QTitle</vt:lpstr>
      <vt:lpstr>ramz</vt:lpstr>
      <vt:lpstr>TeacherName</vt:lpstr>
      <vt:lpstr>Test1</vt:lpstr>
      <vt:lpstr>'Q2'!Time1</vt:lpstr>
      <vt:lpstr>'Q4'!Time1</vt:lpstr>
      <vt:lpstr>'Q6'!Time1</vt:lpstr>
      <vt:lpstr>'Q8'!Time1</vt:lpstr>
      <vt:lpstr>'Q9'!Time1</vt:lpstr>
      <vt:lpstr>Time1</vt:lpstr>
      <vt:lpstr>'Q2'!Watch1</vt:lpstr>
      <vt:lpstr>'Q4'!Watch1</vt:lpstr>
      <vt:lpstr>'Q6'!Watch1</vt:lpstr>
      <vt:lpstr>'Q8'!Watch1</vt:lpstr>
      <vt:lpstr>'Q9'!Watch1</vt:lpstr>
      <vt:lpstr>Watch1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2015-06-05T18:17:20Z</dcterms:created>
  <dcterms:modified xsi:type="dcterms:W3CDTF">2020-06-17T19:41:00Z</dcterms:modified>
</cp:coreProperties>
</file>